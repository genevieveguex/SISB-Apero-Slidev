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pflch-my.sharepoint.com/personal/genevieve_guex_epfl_ch/Documents/Documents/SISB_Presentations/SISB-Apero-Slidev/public/assets/files/Excel_Demo-02/"/>
    </mc:Choice>
  </mc:AlternateContent>
  <xr:revisionPtr revIDLastSave="1185" documentId="8_{B86F2B6C-3DE1-486D-B3D3-0A1863A11CDA}" xr6:coauthVersionLast="47" xr6:coauthVersionMax="47" xr10:uidLastSave="{81583113-3E64-4692-814B-A7B7C20DC27C}"/>
  <bookViews>
    <workbookView xWindow="-120" yWindow="-120" windowWidth="51840" windowHeight="21120" xr2:uid="{537DF2C6-54A6-4649-8875-CD01F068054D}"/>
  </bookViews>
  <sheets>
    <sheet name="USEP_2026" sheetId="6" r:id="rId1"/>
    <sheet name="USEP_2025" sheetId="2" r:id="rId2"/>
    <sheet name="USEP_2024" sheetId="1" r:id="rId3"/>
    <sheet name="&gt;&gt; DEMO" sheetId="5" r:id="rId4"/>
    <sheet name="USEP_Demo" sheetId="7" r:id="rId5"/>
    <sheet name="USEP_Demo_01" sheetId="3" r:id="rId6"/>
    <sheet name="USEP_Demo_02" sheetId="4" r:id="rId7"/>
  </sheets>
  <definedNames>
    <definedName name="PlageDates2026">USEP_Demo!$E$1:$P$1</definedName>
    <definedName name="PlageEntrees2026">USEP_Demo!$E$2:$P$2</definedName>
    <definedName name="PlagePrets2026">USEP_Demo!$E$3:$P$3</definedName>
    <definedName name="PlagesSollicitations2026">USEP_Demo!$E$4:$P$4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4" i="6" l="1"/>
  <c r="G53" i="6"/>
  <c r="G51" i="6"/>
  <c r="G50" i="6"/>
  <c r="G48" i="6"/>
  <c r="G47" i="6"/>
  <c r="G43" i="6"/>
  <c r="G42" i="6"/>
  <c r="G40" i="6"/>
  <c r="G39" i="6"/>
  <c r="G37" i="6"/>
  <c r="G36" i="6"/>
  <c r="G33" i="6"/>
  <c r="G32" i="6"/>
  <c r="G31" i="6"/>
  <c r="G28" i="6"/>
  <c r="G27" i="6"/>
  <c r="G26" i="6"/>
  <c r="G23" i="6"/>
  <c r="G22" i="6"/>
  <c r="G21" i="6"/>
  <c r="G17" i="6"/>
  <c r="G15" i="6"/>
  <c r="G14" i="6"/>
  <c r="G11" i="6"/>
  <c r="G10" i="6"/>
  <c r="S10" i="4"/>
  <c r="S9" i="4"/>
  <c r="S8" i="4"/>
  <c r="E101" i="3"/>
  <c r="E95" i="3"/>
  <c r="G54" i="3"/>
  <c r="G53" i="3"/>
  <c r="E53" i="3"/>
  <c r="E54" i="3" s="1"/>
  <c r="G51" i="3"/>
  <c r="G50" i="3"/>
  <c r="E50" i="3"/>
  <c r="E51" i="3" s="1"/>
  <c r="G48" i="3"/>
  <c r="G47" i="3"/>
  <c r="E47" i="3"/>
  <c r="E48" i="3" s="1"/>
  <c r="G43" i="3"/>
  <c r="G42" i="3"/>
  <c r="E42" i="3"/>
  <c r="E43" i="3" s="1"/>
  <c r="G40" i="3"/>
  <c r="G39" i="3"/>
  <c r="E39" i="3"/>
  <c r="E40" i="3" s="1"/>
  <c r="G37" i="3"/>
  <c r="G36" i="3"/>
  <c r="E36" i="3"/>
  <c r="E37" i="3" s="1"/>
  <c r="G33" i="3"/>
  <c r="E33" i="3"/>
  <c r="G32" i="3"/>
  <c r="E32" i="3"/>
  <c r="G31" i="3"/>
  <c r="E31" i="3"/>
  <c r="G28" i="3"/>
  <c r="E28" i="3"/>
  <c r="G27" i="3"/>
  <c r="E27" i="3"/>
  <c r="G26" i="3"/>
  <c r="E26" i="3"/>
  <c r="G23" i="3"/>
  <c r="E23" i="3"/>
  <c r="G22" i="3"/>
  <c r="E22" i="3"/>
  <c r="G21" i="3"/>
  <c r="E21" i="3"/>
  <c r="G17" i="3"/>
  <c r="E17" i="3"/>
  <c r="G15" i="3"/>
  <c r="E15" i="3"/>
  <c r="G14" i="3"/>
  <c r="E14" i="3"/>
  <c r="G12" i="3"/>
  <c r="E12" i="3"/>
  <c r="G11" i="3"/>
  <c r="E11" i="3"/>
  <c r="D53" i="7"/>
  <c r="D50" i="7"/>
  <c r="D47" i="7"/>
  <c r="D42" i="7"/>
  <c r="D39" i="7"/>
  <c r="D36" i="7"/>
  <c r="D52" i="7"/>
  <c r="D49" i="7"/>
  <c r="D46" i="7"/>
  <c r="D41" i="7"/>
  <c r="D38" i="7"/>
  <c r="D35" i="7"/>
  <c r="D32" i="7"/>
  <c r="D31" i="7"/>
  <c r="D30" i="7"/>
  <c r="D27" i="7"/>
  <c r="D26" i="7"/>
  <c r="D25" i="7"/>
  <c r="D21" i="7"/>
  <c r="D20" i="7"/>
  <c r="D22" i="7"/>
  <c r="D16" i="7"/>
  <c r="D14" i="7"/>
  <c r="D13" i="7"/>
  <c r="D11" i="7"/>
  <c r="D10" i="7"/>
  <c r="F11" i="7"/>
  <c r="F10" i="7"/>
  <c r="F53" i="7"/>
  <c r="F52" i="7"/>
  <c r="F50" i="7"/>
  <c r="F49" i="7"/>
  <c r="F47" i="7"/>
  <c r="F46" i="7"/>
  <c r="F42" i="7"/>
  <c r="F41" i="7"/>
  <c r="F39" i="7"/>
  <c r="F38" i="7"/>
  <c r="F36" i="7"/>
  <c r="F35" i="7"/>
  <c r="F32" i="7"/>
  <c r="F31" i="7"/>
  <c r="F30" i="7"/>
  <c r="F27" i="7"/>
  <c r="F26" i="7"/>
  <c r="F25" i="7"/>
  <c r="F22" i="7"/>
  <c r="F21" i="7"/>
  <c r="F20" i="7"/>
  <c r="F16" i="7"/>
  <c r="F14" i="7"/>
  <c r="F13" i="7"/>
</calcChain>
</file>

<file path=xl/sharedStrings.xml><?xml version="1.0" encoding="utf-8"?>
<sst xmlns="http://schemas.openxmlformats.org/spreadsheetml/2006/main" count="335" uniqueCount="100">
  <si>
    <t>N° Indicateur</t>
  </si>
  <si>
    <t>Indicateur</t>
  </si>
  <si>
    <t>Descriptif indicateur</t>
  </si>
  <si>
    <t>BAT_010</t>
  </si>
  <si>
    <t>Bâtiment : Entrées physiques (nombre)</t>
  </si>
  <si>
    <t>janv.25</t>
  </si>
  <si>
    <t>févr.25</t>
  </si>
  <si>
    <t>mars25</t>
  </si>
  <si>
    <t>avr.25</t>
  </si>
  <si>
    <t>mai25</t>
  </si>
  <si>
    <t>juin25</t>
  </si>
  <si>
    <t>juil.25</t>
  </si>
  <si>
    <t>août25</t>
  </si>
  <si>
    <t>sept.25</t>
  </si>
  <si>
    <t>oct.25</t>
  </si>
  <si>
    <t>nov.25</t>
  </si>
  <si>
    <t>déc.25</t>
  </si>
  <si>
    <t>janv.24</t>
  </si>
  <si>
    <t>févr.24</t>
  </si>
  <si>
    <t>mars24</t>
  </si>
  <si>
    <t>avr.24</t>
  </si>
  <si>
    <t>mai24</t>
  </si>
  <si>
    <t>juin24</t>
  </si>
  <si>
    <t>juil.24</t>
  </si>
  <si>
    <t>août24</t>
  </si>
  <si>
    <t>sept.24</t>
  </si>
  <si>
    <t>oct.24</t>
  </si>
  <si>
    <t>nov.24</t>
  </si>
  <si>
    <t>déc.24</t>
  </si>
  <si>
    <t>REQ_010</t>
  </si>
  <si>
    <t>Sollicitations : Guichets physiques - demandes (nombre)</t>
  </si>
  <si>
    <t>Nombre de sollicitations au guichet physique durant le mois</t>
  </si>
  <si>
    <t>USE_010</t>
  </si>
  <si>
    <t>Usage : Prêts  locaux + PER + PEB avec prolongations (nombre)</t>
  </si>
  <si>
    <t>Nombre d'entrées physiques; 
comptage: total mensuel du système à diviser par deux si comptabilise entrées et sorties</t>
  </si>
  <si>
    <t>Nombre de documents du fonds prêtés et sous prolongation durant le mois;
inclus: prêt en réseau, prêt entre bibliothèques; prêts sans prolongation</t>
  </si>
  <si>
    <t>Nombre de documents du fonds prêtés et sous prolongation durant le mois;
inclus: prêt en réseau, prêt entre bibliothèques; inclus les prêts sans prolongation</t>
  </si>
  <si>
    <t>Début du comptage</t>
  </si>
  <si>
    <t>Fin du comptage</t>
  </si>
  <si>
    <t>Nombre total</t>
  </si>
  <si>
    <t>Entrées</t>
  </si>
  <si>
    <t>Prêts</t>
  </si>
  <si>
    <t>Valeur médiane</t>
  </si>
  <si>
    <t>Max</t>
  </si>
  <si>
    <t>Min</t>
  </si>
  <si>
    <t>Nombre min d'entrées sur une journée</t>
  </si>
  <si>
    <t>Nombre min de prêts sur une journée</t>
  </si>
  <si>
    <t>Nombre de mois contrôlés</t>
  </si>
  <si>
    <t>Sollicitations</t>
  </si>
  <si>
    <t>Moyenne mensuelle</t>
  </si>
  <si>
    <t>Mois avec le plus d'entrées</t>
  </si>
  <si>
    <t>Nombre max d'entrées sur un mois</t>
  </si>
  <si>
    <t>Nombre max de prêts sur un mois</t>
  </si>
  <si>
    <t>Mois avec le plus de prêts</t>
  </si>
  <si>
    <t>Mois avec le plus de sollicitations</t>
  </si>
  <si>
    <t>Nombre max de sollicitations sur un mois</t>
  </si>
  <si>
    <t>Nombre min de sollicitations sur un mois</t>
  </si>
  <si>
    <t>Mois avec le moins de sollicitations</t>
  </si>
  <si>
    <t>Équipe</t>
  </si>
  <si>
    <t>ASAP</t>
  </si>
  <si>
    <t>FDOC</t>
  </si>
  <si>
    <t>FORMULE</t>
  </si>
  <si>
    <t>Mois avec le moins d'entrées</t>
  </si>
  <si>
    <t>Mois avec le moins de prêts</t>
  </si>
  <si>
    <t>Date</t>
  </si>
  <si>
    <t>Valeur</t>
  </si>
  <si>
    <t>(Tous)</t>
  </si>
  <si>
    <t>Nombre</t>
  </si>
  <si>
    <t xml:space="preserve">  </t>
  </si>
  <si>
    <t>Quelles sont les questions auxquelles nous pouvons répondre?</t>
  </si>
  <si>
    <t>Nombre d'indicateurs récoltés par ASAP</t>
  </si>
  <si>
    <t>Nombre d'indicateurs récoltés par FDOC</t>
  </si>
  <si>
    <t>Début de la récolte</t>
  </si>
  <si>
    <t>Fin de la récolte</t>
  </si>
  <si>
    <t>Existe-t-il une relation entre les entrées et les sollicitations au guichet?</t>
  </si>
  <si>
    <t>Coefficient de détermination</t>
  </si>
  <si>
    <t>coefficient de corrélation r</t>
  </si>
  <si>
    <t>mesure la force et la direction de la relation linéaire entre deux variables</t>
  </si>
  <si>
    <t>coefficient de détermination  R2</t>
  </si>
  <si>
    <t>mesure la proportion de la variance d'une variable qui est expliquée par une autre variable ou par un modèle de régression.</t>
  </si>
  <si>
    <t>Quels sont les filtres que nous pouvons utiliser sur ces tables?</t>
  </si>
  <si>
    <t>TOTAL</t>
  </si>
  <si>
    <t>PCT Total annuel</t>
  </si>
  <si>
    <t>Variation mois précédent</t>
  </si>
  <si>
    <t>FORMAT LONG</t>
  </si>
  <si>
    <t>FORMAT LARGE</t>
  </si>
  <si>
    <t>FORMAT HYBRIDE</t>
  </si>
  <si>
    <t>FORMAT LONG : PERMET LES TABLEAUX CROISÉS DYNAMIQUES</t>
  </si>
  <si>
    <t>Quelles sont les questions auxquelles nous ne pouvons pas répondre?</t>
  </si>
  <si>
    <t>quelques exemples</t>
  </si>
  <si>
    <t>… et si nous désirons comparer avec les années précédentes?</t>
  </si>
  <si>
    <t>est-ce que le mois de mai est toujours celui avec le plus d'entrées?</t>
  </si>
  <si>
    <t>Evolution</t>
  </si>
  <si>
    <t>Saisonnalité</t>
  </si>
  <si>
    <t>est-ce que nous avons une période durant laquelle les sollicitations sont plus hautes?</t>
  </si>
  <si>
    <t>différence des totaux d'années en année (nombre, pourcent)</t>
  </si>
  <si>
    <t>quelle est la moyenne par trimestre?</t>
  </si>
  <si>
    <t>quel est le total par année académique (septembre-août)?</t>
  </si>
  <si>
    <t>quelle est la différence par rapport au mois précédent (nombre ou pourcentage)?</t>
  </si>
  <si>
    <t>différence entre le nombre le plus haut et nombre le plus bas (pourcentage)?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</si>
</sst>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0_-;_-@_-"/>
    <numFmt numFmtId="165" formatCode="_-* #,##0_-;\-* #,##0_-;_-* &quot;-&quot;??_-;_-@_-"/>
    <numFmt numFmtId="166" formatCode="mmm\ yyyy"/>
    <numFmt numFmtId="167" formatCode="mmmm"/>
    <numFmt numFmtId="168" formatCode="0.0%"/>
  </numFmts>
  <fonts count="18" x14ac:knownFonts="1">
    <font>
      <sz val="9"/>
      <color theme="1"/>
      <name val="Aptos"/>
      <family val="2"/>
    </font>
    <font>
      <sz val="9"/>
      <color theme="1"/>
      <name val="Aptos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  <font>
      <b/>
      <sz val="9"/>
      <color theme="1"/>
      <name val="Aptos"/>
      <family val="2"/>
    </font>
    <font>
      <b/>
      <sz val="9"/>
      <name val="Aptos"/>
      <family val="2"/>
    </font>
    <font>
      <sz val="9"/>
      <name val="Aptos"/>
      <family val="2"/>
    </font>
    <font>
      <sz val="8"/>
      <name val="Aptos"/>
      <family val="2"/>
    </font>
    <font>
      <i/>
      <sz val="9"/>
      <color theme="0" tint="-0.499984740745262"/>
      <name val="Aptos"/>
      <family val="2"/>
    </font>
    <font>
      <sz val="9"/>
      <color theme="0"/>
      <name val="Aptos"/>
      <family val="2"/>
    </font>
    <font>
      <sz val="11"/>
      <color theme="1"/>
      <name val="Aptos"/>
      <family val="2"/>
    </font>
    <font>
      <b/>
      <sz val="14"/>
      <color theme="1"/>
      <name val="Aptos"/>
      <family val="2"/>
    </font>
    <font>
      <b/>
      <sz val="10"/>
      <name val="Aptos"/>
      <family val="2"/>
    </font>
    <font>
      <i/>
      <sz val="10"/>
      <color theme="0" tint="-0.499984740745262"/>
      <name val="Aptos"/>
      <family val="2"/>
    </font>
    <font>
      <b/>
      <sz val="14"/>
      <color theme="7"/>
      <name val="Aptos"/>
      <family val="2"/>
    </font>
    <font>
      <b/>
      <i/>
      <sz val="14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auto="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auto="1"/>
      </top>
      <bottom style="thin">
        <color auto="1"/>
      </bottom>
      <diagonal/>
    </border>
    <border>
      <left/>
      <right style="thin">
        <color theme="2" tint="-9.9948118533890809E-2"/>
      </right>
      <top style="thin">
        <color auto="1"/>
      </top>
      <bottom style="thin">
        <color auto="1"/>
      </bottom>
      <diagonal/>
    </border>
    <border>
      <left style="thin">
        <color theme="2" tint="-9.9948118533890809E-2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2" tint="-9.9948118533890809E-2"/>
      </right>
      <top/>
      <bottom style="thin">
        <color auto="1"/>
      </bottom>
      <diagonal/>
    </border>
    <border>
      <left style="thin">
        <color theme="2" tint="-9.9948118533890809E-2"/>
      </left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24">
    <xf numFmtId="0" fontId="0" fillId="0" borderId="0" xfId="0"/>
    <xf numFmtId="0" fontId="4" fillId="0" borderId="1" xfId="0" applyFont="1" applyBorder="1" applyAlignment="1">
      <alignment vertical="top" wrapText="1"/>
    </xf>
    <xf numFmtId="0" fontId="3" fillId="2" borderId="1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65" fontId="4" fillId="0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165" fontId="5" fillId="0" borderId="1" xfId="1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top" wrapText="1"/>
    </xf>
    <xf numFmtId="0" fontId="0" fillId="0" borderId="4" xfId="0" applyBorder="1"/>
    <xf numFmtId="14" fontId="0" fillId="0" borderId="0" xfId="0" applyNumberFormat="1"/>
    <xf numFmtId="0" fontId="4" fillId="0" borderId="5" xfId="0" applyFont="1" applyBorder="1" applyAlignment="1">
      <alignment vertical="top" wrapText="1"/>
    </xf>
    <xf numFmtId="0" fontId="3" fillId="4" borderId="9" xfId="2" applyFont="1" applyFill="1" applyBorder="1" applyAlignment="1">
      <alignment wrapText="1"/>
    </xf>
    <xf numFmtId="0" fontId="3" fillId="4" borderId="9" xfId="0" applyFont="1" applyFill="1" applyBorder="1" applyAlignment="1">
      <alignment wrapText="1"/>
    </xf>
    <xf numFmtId="0" fontId="6" fillId="0" borderId="4" xfId="0" applyFont="1" applyBorder="1"/>
    <xf numFmtId="0" fontId="10" fillId="0" borderId="0" xfId="0" applyFont="1"/>
    <xf numFmtId="165" fontId="7" fillId="0" borderId="0" xfId="1" applyNumberFormat="1" applyFont="1" applyFill="1" applyBorder="1"/>
    <xf numFmtId="166" fontId="3" fillId="4" borderId="9" xfId="2" applyNumberFormat="1" applyFont="1" applyFill="1" applyBorder="1" applyAlignment="1">
      <alignment horizontal="center" wrapText="1"/>
    </xf>
    <xf numFmtId="0" fontId="4" fillId="0" borderId="1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3" fillId="4" borderId="9" xfId="2" applyFont="1" applyFill="1" applyBorder="1" applyAlignment="1">
      <alignment horizontal="left" vertical="top" wrapText="1"/>
    </xf>
    <xf numFmtId="0" fontId="3" fillId="4" borderId="9" xfId="0" applyFont="1" applyFill="1" applyBorder="1" applyAlignment="1">
      <alignment horizontal="left" vertical="top" wrapText="1"/>
    </xf>
    <xf numFmtId="166" fontId="3" fillId="4" borderId="9" xfId="2" applyNumberFormat="1" applyFont="1" applyFill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4" fontId="0" fillId="0" borderId="12" xfId="0" applyNumberFormat="1" applyBorder="1"/>
    <xf numFmtId="0" fontId="0" fillId="0" borderId="12" xfId="0" applyBorder="1"/>
    <xf numFmtId="14" fontId="0" fillId="0" borderId="2" xfId="0" applyNumberFormat="1" applyBorder="1"/>
    <xf numFmtId="0" fontId="0" fillId="0" borderId="2" xfId="0" applyBorder="1"/>
    <xf numFmtId="0" fontId="3" fillId="4" borderId="9" xfId="0" applyFont="1" applyFill="1" applyBorder="1" applyAlignment="1">
      <alignment horizontal="right" vertical="top" wrapText="1"/>
    </xf>
    <xf numFmtId="0" fontId="0" fillId="0" borderId="0" xfId="0" pivotButton="1"/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wrapText="1"/>
    </xf>
    <xf numFmtId="165" fontId="0" fillId="0" borderId="12" xfId="1" applyNumberFormat="1" applyFont="1" applyBorder="1"/>
    <xf numFmtId="165" fontId="0" fillId="0" borderId="2" xfId="1" applyNumberFormat="1" applyFont="1" applyBorder="1"/>
    <xf numFmtId="168" fontId="0" fillId="0" borderId="0" xfId="0" applyNumberFormat="1"/>
    <xf numFmtId="167" fontId="0" fillId="0" borderId="0" xfId="0" applyNumberFormat="1" applyAlignment="1">
      <alignment horizontal="left" indent="1"/>
    </xf>
    <xf numFmtId="0" fontId="4" fillId="0" borderId="1" xfId="0" applyFont="1" applyBorder="1" applyAlignment="1">
      <alignment horizontal="left" vertical="center" wrapText="1"/>
    </xf>
    <xf numFmtId="164" fontId="4" fillId="0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0" fillId="0" borderId="1" xfId="0" applyBorder="1"/>
    <xf numFmtId="0" fontId="3" fillId="2" borderId="1" xfId="2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166" fontId="3" fillId="2" borderId="1" xfId="2" applyNumberFormat="1" applyFont="1" applyFill="1" applyBorder="1" applyAlignment="1">
      <alignment horizontal="center" wrapText="1"/>
    </xf>
    <xf numFmtId="0" fontId="0" fillId="0" borderId="0" xfId="0" applyBorder="1"/>
    <xf numFmtId="0" fontId="4" fillId="0" borderId="0" xfId="0" applyFont="1"/>
    <xf numFmtId="0" fontId="12" fillId="0" borderId="0" xfId="0" applyFont="1"/>
    <xf numFmtId="0" fontId="13" fillId="0" borderId="0" xfId="0" applyFont="1"/>
    <xf numFmtId="164" fontId="6" fillId="0" borderId="0" xfId="0" applyNumberFormat="1" applyFont="1"/>
    <xf numFmtId="0" fontId="4" fillId="0" borderId="0" xfId="0" applyFont="1" applyBorder="1"/>
    <xf numFmtId="0" fontId="3" fillId="0" borderId="0" xfId="0" applyFont="1" applyBorder="1"/>
    <xf numFmtId="0" fontId="14" fillId="0" borderId="2" xfId="0" applyFont="1" applyBorder="1"/>
    <xf numFmtId="14" fontId="14" fillId="3" borderId="2" xfId="0" applyNumberFormat="1" applyFont="1" applyFill="1" applyBorder="1"/>
    <xf numFmtId="0" fontId="15" fillId="0" borderId="0" xfId="0" applyFont="1" applyBorder="1"/>
    <xf numFmtId="0" fontId="5" fillId="0" borderId="0" xfId="0" applyFont="1"/>
    <xf numFmtId="0" fontId="14" fillId="0" borderId="0" xfId="0" applyFont="1"/>
    <xf numFmtId="0" fontId="14" fillId="3" borderId="2" xfId="0" applyFont="1" applyFill="1" applyBorder="1"/>
    <xf numFmtId="0" fontId="15" fillId="0" borderId="0" xfId="0" applyFont="1"/>
    <xf numFmtId="0" fontId="5" fillId="0" borderId="2" xfId="0" applyFont="1" applyBorder="1"/>
    <xf numFmtId="165" fontId="14" fillId="3" borderId="2" xfId="1" applyNumberFormat="1" applyFont="1" applyFill="1" applyBorder="1"/>
    <xf numFmtId="165" fontId="14" fillId="0" borderId="0" xfId="1" applyNumberFormat="1" applyFont="1"/>
    <xf numFmtId="0" fontId="5" fillId="0" borderId="3" xfId="0" applyFont="1" applyBorder="1"/>
    <xf numFmtId="165" fontId="14" fillId="3" borderId="3" xfId="1" applyNumberFormat="1" applyFont="1" applyFill="1" applyBorder="1"/>
    <xf numFmtId="167" fontId="14" fillId="3" borderId="2" xfId="1" applyNumberFormat="1" applyFont="1" applyFill="1" applyBorder="1"/>
    <xf numFmtId="0" fontId="5" fillId="0" borderId="4" xfId="0" applyFont="1" applyBorder="1"/>
    <xf numFmtId="165" fontId="14" fillId="0" borderId="0" xfId="1" applyNumberFormat="1" applyFont="1" applyFill="1" applyBorder="1"/>
    <xf numFmtId="0" fontId="3" fillId="0" borderId="0" xfId="0" applyFont="1"/>
    <xf numFmtId="0" fontId="3" fillId="0" borderId="2" xfId="0" applyFont="1" applyBorder="1"/>
    <xf numFmtId="1" fontId="14" fillId="3" borderId="2" xfId="0" applyNumberFormat="1" applyFont="1" applyFill="1" applyBorder="1"/>
    <xf numFmtId="0" fontId="0" fillId="0" borderId="0" xfId="0" applyFill="1" applyBorder="1"/>
    <xf numFmtId="0" fontId="6" fillId="0" borderId="0" xfId="0" applyFont="1" applyFill="1" applyBorder="1"/>
    <xf numFmtId="0" fontId="7" fillId="0" borderId="0" xfId="0" applyFont="1" applyFill="1" applyBorder="1"/>
    <xf numFmtId="14" fontId="7" fillId="0" borderId="0" xfId="0" applyNumberFormat="1" applyFont="1" applyFill="1" applyBorder="1"/>
    <xf numFmtId="0" fontId="10" fillId="0" borderId="0" xfId="0" applyFont="1" applyFill="1" applyBorder="1"/>
    <xf numFmtId="0" fontId="8" fillId="0" borderId="0" xfId="0" applyFont="1" applyFill="1" applyBorder="1"/>
    <xf numFmtId="14" fontId="0" fillId="0" borderId="0" xfId="0" applyNumberFormat="1" applyFill="1" applyBorder="1"/>
    <xf numFmtId="167" fontId="7" fillId="0" borderId="0" xfId="1" applyNumberFormat="1" applyFont="1" applyFill="1" applyBorder="1"/>
    <xf numFmtId="0" fontId="3" fillId="0" borderId="10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vertical="center" wrapText="1"/>
    </xf>
    <xf numFmtId="164" fontId="3" fillId="0" borderId="5" xfId="1" applyNumberFormat="1" applyFont="1" applyFill="1" applyBorder="1" applyAlignment="1">
      <alignment horizontal="center" vertical="center"/>
    </xf>
    <xf numFmtId="164" fontId="3" fillId="0" borderId="11" xfId="1" applyNumberFormat="1" applyFont="1" applyFill="1" applyBorder="1" applyAlignment="1">
      <alignment horizontal="center" vertical="center"/>
    </xf>
    <xf numFmtId="164" fontId="14" fillId="0" borderId="6" xfId="1" applyNumberFormat="1" applyFont="1" applyFill="1" applyBorder="1" applyAlignment="1">
      <alignment horizontal="center" vertical="center"/>
    </xf>
    <xf numFmtId="0" fontId="6" fillId="0" borderId="6" xfId="0" applyFont="1" applyBorder="1"/>
    <xf numFmtId="0" fontId="6" fillId="0" borderId="8" xfId="0" applyFont="1" applyBorder="1"/>
    <xf numFmtId="0" fontId="13" fillId="4" borderId="0" xfId="0" applyFont="1" applyFill="1"/>
    <xf numFmtId="0" fontId="0" fillId="4" borderId="0" xfId="0" applyFill="1"/>
    <xf numFmtId="0" fontId="0" fillId="0" borderId="0" xfId="0" applyFill="1"/>
    <xf numFmtId="0" fontId="6" fillId="0" borderId="0" xfId="0" applyFont="1"/>
    <xf numFmtId="0" fontId="6" fillId="0" borderId="2" xfId="0" applyFont="1" applyBorder="1"/>
    <xf numFmtId="2" fontId="14" fillId="3" borderId="2" xfId="1" applyNumberFormat="1" applyFont="1" applyFill="1" applyBorder="1"/>
    <xf numFmtId="0" fontId="0" fillId="0" borderId="0" xfId="0" applyNumberFormat="1"/>
    <xf numFmtId="165" fontId="4" fillId="0" borderId="5" xfId="1" applyNumberFormat="1" applyFont="1" applyFill="1" applyBorder="1" applyAlignment="1">
      <alignment horizontal="left" vertical="top"/>
    </xf>
    <xf numFmtId="165" fontId="4" fillId="0" borderId="11" xfId="1" applyNumberFormat="1" applyFont="1" applyFill="1" applyBorder="1" applyAlignment="1">
      <alignment horizontal="left" vertical="top"/>
    </xf>
    <xf numFmtId="165" fontId="5" fillId="0" borderId="6" xfId="1" applyNumberFormat="1" applyFont="1" applyFill="1" applyBorder="1" applyAlignment="1">
      <alignment horizontal="left" vertical="top"/>
    </xf>
    <xf numFmtId="165" fontId="0" fillId="0" borderId="6" xfId="1" applyNumberFormat="1" applyFont="1" applyBorder="1" applyAlignment="1">
      <alignment horizontal="left" vertical="top"/>
    </xf>
    <xf numFmtId="165" fontId="0" fillId="0" borderId="8" xfId="1" applyNumberFormat="1" applyFont="1" applyBorder="1" applyAlignment="1">
      <alignment horizontal="left" vertical="top"/>
    </xf>
    <xf numFmtId="0" fontId="6" fillId="4" borderId="9" xfId="0" applyFont="1" applyFill="1" applyBorder="1" applyAlignment="1">
      <alignment horizontal="right" vertical="center"/>
    </xf>
    <xf numFmtId="14" fontId="4" fillId="0" borderId="12" xfId="0" applyNumberFormat="1" applyFont="1" applyBorder="1"/>
    <xf numFmtId="165" fontId="4" fillId="0" borderId="12" xfId="1" applyNumberFormat="1" applyFont="1" applyBorder="1"/>
    <xf numFmtId="14" fontId="4" fillId="0" borderId="2" xfId="0" applyNumberFormat="1" applyFont="1" applyBorder="1"/>
    <xf numFmtId="165" fontId="4" fillId="0" borderId="2" xfId="1" applyNumberFormat="1" applyFont="1" applyBorder="1"/>
    <xf numFmtId="0" fontId="3" fillId="0" borderId="0" xfId="0" applyFont="1" applyFill="1" applyBorder="1" applyAlignment="1">
      <alignment horizontal="right" vertical="top" wrapText="1"/>
    </xf>
    <xf numFmtId="165" fontId="0" fillId="0" borderId="0" xfId="1" applyNumberFormat="1" applyFont="1" applyFill="1" applyBorder="1"/>
    <xf numFmtId="165" fontId="3" fillId="0" borderId="4" xfId="1" applyNumberFormat="1" applyFont="1" applyFill="1" applyBorder="1" applyAlignment="1">
      <alignment horizontal="left" vertical="top"/>
    </xf>
    <xf numFmtId="165" fontId="6" fillId="0" borderId="2" xfId="1" applyNumberFormat="1" applyFont="1" applyBorder="1" applyAlignment="1">
      <alignment horizontal="left" vertical="top"/>
    </xf>
    <xf numFmtId="165" fontId="4" fillId="0" borderId="0" xfId="1" applyNumberFormat="1" applyFont="1" applyFill="1" applyBorder="1" applyAlignment="1">
      <alignment horizontal="left" vertical="top"/>
    </xf>
    <xf numFmtId="166" fontId="3" fillId="0" borderId="0" xfId="2" applyNumberFormat="1" applyFont="1" applyFill="1" applyBorder="1" applyAlignment="1">
      <alignment horizontal="left" vertical="top" wrapText="1"/>
    </xf>
    <xf numFmtId="165" fontId="0" fillId="0" borderId="0" xfId="1" applyNumberFormat="1" applyFont="1" applyFill="1" applyBorder="1" applyAlignment="1">
      <alignment horizontal="left" vertical="top"/>
    </xf>
    <xf numFmtId="0" fontId="11" fillId="0" borderId="0" xfId="0" applyNumberFormat="1" applyFont="1"/>
    <xf numFmtId="0" fontId="16" fillId="0" borderId="0" xfId="0" applyFont="1"/>
    <xf numFmtId="0" fontId="17" fillId="0" borderId="0" xfId="0" applyFont="1"/>
  </cellXfs>
  <cellStyles count="3">
    <cellStyle name="Milliers" xfId="1" builtinId="3"/>
    <cellStyle name="Normal" xfId="0" builtinId="0"/>
    <cellStyle name="Normal 2" xfId="2" xr:uid="{D0C2D436-22CC-4622-BFAB-EE73B1162312}"/>
  </cellStyles>
  <dxfs count="7">
    <dxf>
      <font>
        <color theme="0"/>
      </font>
    </dxf>
    <dxf>
      <font>
        <color theme="0"/>
      </font>
    </dxf>
    <dxf>
      <font>
        <color theme="0"/>
      </font>
    </dxf>
    <dxf>
      <numFmt numFmtId="168" formatCode="0.0%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Bâtiment : Entrées physiques (nombre)</a:t>
            </a:r>
          </a:p>
          <a:p>
            <a:pPr>
              <a:defRPr>
                <a:solidFill>
                  <a:schemeClr val="tx1"/>
                </a:solidFill>
              </a:defRPr>
            </a:pPr>
            <a:endParaRPr lang="en-US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3.3825996300128551E-2"/>
          <c:y val="1.9334659356034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USEP_Demo_01!$D$3</c:f>
              <c:strCache>
                <c:ptCount val="1"/>
                <c:pt idx="0">
                  <c:v>Bâtiment : Entrées physiques (nombre)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E1F-4526-A093-E6F582875FB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E1F-4526-A093-E6F582875FB5}"/>
              </c:ext>
            </c:extLst>
          </c:dPt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7E1F-4526-A093-E6F582875FB5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4">
                          <a:lumMod val="40000"/>
                          <a:lumOff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7E1F-4526-A093-E6F582875F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USEP_Demo_01!$F$2:$Q$2</c:f>
              <c:numCache>
                <c:formatCode>mmm\ yyyy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USEP_Demo_01!$F$3:$Q$3</c:f>
              <c:numCache>
                <c:formatCode>_-* #\ ##0_-;\-* #\ ##0_-;_-* 0_-;_-@_-</c:formatCode>
                <c:ptCount val="12"/>
                <c:pt idx="0">
                  <c:v>151902</c:v>
                </c:pt>
                <c:pt idx="1">
                  <c:v>50727</c:v>
                </c:pt>
                <c:pt idx="2">
                  <c:v>175830</c:v>
                </c:pt>
                <c:pt idx="3">
                  <c:v>172017</c:v>
                </c:pt>
                <c:pt idx="4">
                  <c:v>210289</c:v>
                </c:pt>
                <c:pt idx="5">
                  <c:v>169129</c:v>
                </c:pt>
                <c:pt idx="6">
                  <c:v>28845</c:v>
                </c:pt>
                <c:pt idx="7">
                  <c:v>39741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1F-4526-A093-E6F582875F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253550911"/>
        <c:axId val="1095809679"/>
      </c:barChart>
      <c:dateAx>
        <c:axId val="1253550911"/>
        <c:scaling>
          <c:orientation val="maxMin"/>
        </c:scaling>
        <c:delete val="0"/>
        <c:axPos val="l"/>
        <c:numFmt formatCode="mmm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5809679"/>
        <c:crosses val="autoZero"/>
        <c:auto val="1"/>
        <c:lblOffset val="100"/>
        <c:baseTimeUnit val="months"/>
      </c:dateAx>
      <c:valAx>
        <c:axId val="1095809679"/>
        <c:scaling>
          <c:orientation val="minMax"/>
        </c:scaling>
        <c:delete val="1"/>
        <c:axPos val="t"/>
        <c:numFmt formatCode="_-* #\ ##0_-;\-* #\ ##0_-;_-* 0_-;_-@_-" sourceLinked="1"/>
        <c:majorTickMark val="none"/>
        <c:minorTickMark val="none"/>
        <c:tickLblPos val="nextTo"/>
        <c:crossAx val="1253550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 algn="l"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Usage : Prêts  locaux + PER + PEB avec prolongations (nombre)</a:t>
            </a:r>
          </a:p>
        </c:rich>
      </c:tx>
      <c:layout>
        <c:manualLayout>
          <c:xMode val="edge"/>
          <c:yMode val="edge"/>
          <c:x val="3.4501228887882124E-2"/>
          <c:y val="1.9334659356034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l"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USEP_Demo_01!$D$4</c:f>
              <c:strCache>
                <c:ptCount val="1"/>
                <c:pt idx="0">
                  <c:v>Usage : Prêts  locaux + PER + PEB avec prolongations (nombre)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2A5-45B7-AE0E-70613D30123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2A5-45B7-AE0E-70613D30123A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72A5-45B7-AE0E-70613D30123A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>
                          <a:lumMod val="40000"/>
                          <a:lumOff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72A5-45B7-AE0E-70613D3012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USEP_Demo_01!$F$2:$Q$2</c:f>
              <c:numCache>
                <c:formatCode>mmm\ yyyy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USEP_Demo_01!$F$4:$Q$4</c:f>
              <c:numCache>
                <c:formatCode>_-* #\ ##0_-;\-* #\ ##0_-;_-* 0_-;_-@_-</c:formatCode>
                <c:ptCount val="12"/>
                <c:pt idx="0">
                  <c:v>5252</c:v>
                </c:pt>
                <c:pt idx="1">
                  <c:v>7084</c:v>
                </c:pt>
                <c:pt idx="2">
                  <c:v>7262</c:v>
                </c:pt>
                <c:pt idx="3">
                  <c:v>5243</c:v>
                </c:pt>
                <c:pt idx="4">
                  <c:v>4215</c:v>
                </c:pt>
                <c:pt idx="5">
                  <c:v>3141</c:v>
                </c:pt>
                <c:pt idx="6">
                  <c:v>1639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A5-45B7-AE0E-70613D3012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253550911"/>
        <c:axId val="1095809679"/>
      </c:barChart>
      <c:dateAx>
        <c:axId val="1253550911"/>
        <c:scaling>
          <c:orientation val="maxMin"/>
        </c:scaling>
        <c:delete val="0"/>
        <c:axPos val="l"/>
        <c:numFmt formatCode="mmm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5809679"/>
        <c:crosses val="autoZero"/>
        <c:auto val="1"/>
        <c:lblOffset val="100"/>
        <c:baseTimeUnit val="months"/>
      </c:dateAx>
      <c:valAx>
        <c:axId val="1095809679"/>
        <c:scaling>
          <c:orientation val="minMax"/>
        </c:scaling>
        <c:delete val="1"/>
        <c:axPos val="t"/>
        <c:numFmt formatCode="_-* #\ ##0_-;\-* #\ ##0_-;_-* 0_-;_-@_-" sourceLinked="1"/>
        <c:majorTickMark val="none"/>
        <c:minorTickMark val="none"/>
        <c:tickLblPos val="nextTo"/>
        <c:crossAx val="1253550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3.172405910479225E-2"/>
          <c:y val="2.25571025820397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0"/>
          <c:tx>
            <c:strRef>
              <c:f>USEP_Demo_01!$D$5</c:f>
              <c:strCache>
                <c:ptCount val="1"/>
                <c:pt idx="0">
                  <c:v>Sollicitations : Guichets physiques - demandes (nombre)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732-4A8E-BBE0-2B46CC0B2D9D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732-4A8E-BBE0-2B46CC0B2D9D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D732-4A8E-BBE0-2B46CC0B2D9D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D732-4A8E-BBE0-2B46CC0B2D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USEP_Demo_01!$F$2:$Q$2</c:f>
              <c:numCache>
                <c:formatCode>mmm\ yyyy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USEP_Demo_01!$F$5:$Q$5</c:f>
              <c:numCache>
                <c:formatCode>_-* #\ ##0_-;\-* #\ ##0_-;_-* 0_-;_-@_-</c:formatCode>
                <c:ptCount val="12"/>
                <c:pt idx="0">
                  <c:v>1505</c:v>
                </c:pt>
                <c:pt idx="1">
                  <c:v>1224</c:v>
                </c:pt>
                <c:pt idx="2">
                  <c:v>1970</c:v>
                </c:pt>
                <c:pt idx="3">
                  <c:v>1546</c:v>
                </c:pt>
                <c:pt idx="4">
                  <c:v>1667</c:v>
                </c:pt>
                <c:pt idx="5">
                  <c:v>1518</c:v>
                </c:pt>
                <c:pt idx="6">
                  <c:v>825</c:v>
                </c:pt>
                <c:pt idx="7">
                  <c:v>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32-4A8E-BBE0-2B46CC0B2D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253550911"/>
        <c:axId val="1095809679"/>
      </c:barChart>
      <c:dateAx>
        <c:axId val="1253550911"/>
        <c:scaling>
          <c:orientation val="maxMin"/>
        </c:scaling>
        <c:delete val="0"/>
        <c:axPos val="l"/>
        <c:numFmt formatCode="mmm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5809679"/>
        <c:crosses val="autoZero"/>
        <c:auto val="1"/>
        <c:lblOffset val="100"/>
        <c:baseTimeUnit val="months"/>
      </c:dateAx>
      <c:valAx>
        <c:axId val="1095809679"/>
        <c:scaling>
          <c:orientation val="minMax"/>
        </c:scaling>
        <c:delete val="1"/>
        <c:axPos val="t"/>
        <c:numFmt formatCode="_-* #\ ##0_-;\-* #\ ##0_-;_-* 0_-;_-@_-" sourceLinked="1"/>
        <c:majorTickMark val="none"/>
        <c:minorTickMark val="none"/>
        <c:tickLblPos val="nextTo"/>
        <c:crossAx val="1253550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Bâtiment : Entrées physiques (nombre)</a:t>
            </a:r>
          </a:p>
          <a:p>
            <a:pPr>
              <a:defRPr>
                <a:solidFill>
                  <a:schemeClr val="tx1"/>
                </a:solidFill>
              </a:defRPr>
            </a:pPr>
            <a:endParaRPr lang="en-US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2.0451822162703297E-2"/>
          <c:y val="2.89346248352492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USEP_Demo_01!$D$3</c:f>
              <c:strCache>
                <c:ptCount val="1"/>
                <c:pt idx="0">
                  <c:v>Bâtiment : Entrées physiques (nombre)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accent4"/>
              </a:solidFill>
            </a:ln>
            <a:effectLst/>
          </c:spPr>
          <c:dLbls>
            <c:dLbl>
              <c:idx val="4"/>
              <c:layout>
                <c:manualLayout>
                  <c:x val="-6.9323116710219334E-3"/>
                  <c:y val="-0.3083741529310739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24-4CD2-8BA5-FEBAEB948448}"/>
                </c:ext>
              </c:extLst>
            </c:dLbl>
            <c:dLbl>
              <c:idx val="6"/>
              <c:layout>
                <c:manualLayout>
                  <c:x val="9.0976496218420078E-8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24-4CD2-8BA5-FEBAEB948448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B24-4CD2-8BA5-FEBAEB948448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B24-4CD2-8BA5-FEBAEB948448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B24-4CD2-8BA5-FEBAEB948448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B24-4CD2-8BA5-FEBAEB9484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USEP_Demo_01!$F$2:$Q$2</c:f>
              <c:numCache>
                <c:formatCode>mmm\ yyyy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USEP_Demo_01!$F$3:$Q$3</c:f>
              <c:numCache>
                <c:formatCode>_-* #\ ##0_-;\-* #\ ##0_-;_-* 0_-;_-@_-</c:formatCode>
                <c:ptCount val="12"/>
                <c:pt idx="0">
                  <c:v>151902</c:v>
                </c:pt>
                <c:pt idx="1">
                  <c:v>50727</c:v>
                </c:pt>
                <c:pt idx="2">
                  <c:v>175830</c:v>
                </c:pt>
                <c:pt idx="3">
                  <c:v>172017</c:v>
                </c:pt>
                <c:pt idx="4">
                  <c:v>210289</c:v>
                </c:pt>
                <c:pt idx="5">
                  <c:v>169129</c:v>
                </c:pt>
                <c:pt idx="6">
                  <c:v>28845</c:v>
                </c:pt>
                <c:pt idx="7">
                  <c:v>39741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24-4CD2-8BA5-FEBAEB9484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253550911"/>
        <c:axId val="1095809679"/>
      </c:areaChart>
      <c:dateAx>
        <c:axId val="1253550911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5809679"/>
        <c:crosses val="autoZero"/>
        <c:auto val="1"/>
        <c:lblOffset val="100"/>
        <c:baseTimeUnit val="months"/>
      </c:dateAx>
      <c:valAx>
        <c:axId val="1095809679"/>
        <c:scaling>
          <c:orientation val="minMax"/>
        </c:scaling>
        <c:delete val="0"/>
        <c:axPos val="l"/>
        <c:numFmt formatCode="_-* #\ ##0_-;\-* #\ ##0_-;_-* 0_-;_-@_-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3550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1.6506296296296297E-2"/>
          <c:y val="1.80880091311688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l"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1"/>
          <c:order val="0"/>
          <c:tx>
            <c:strRef>
              <c:f>USEP_Demo_01!$D$4</c:f>
              <c:strCache>
                <c:ptCount val="1"/>
                <c:pt idx="0">
                  <c:v>Usage : Prêts  locaux + PER + PEB avec prolongations (nombre)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solidFill>
                <a:schemeClr val="accent3"/>
              </a:solidFill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406-415A-9BEE-CA9F4E88DB8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406-415A-9BEE-CA9F4E88DB88}"/>
                </c:ext>
              </c:extLst>
            </c:dLbl>
            <c:dLbl>
              <c:idx val="2"/>
              <c:layout>
                <c:manualLayout>
                  <c:x val="-7.2071970391346923E-3"/>
                  <c:y val="-0.3319637048450607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406-415A-9BEE-CA9F4E88DB8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406-415A-9BEE-CA9F4E88DB8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406-415A-9BEE-CA9F4E88DB8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406-415A-9BEE-CA9F4E88DB88}"/>
                </c:ext>
              </c:extLst>
            </c:dLbl>
            <c:dLbl>
              <c:idx val="6"/>
              <c:layout>
                <c:manualLayout>
                  <c:x val="1.104480964760619E-2"/>
                  <c:y val="-0.109711322410013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3">
                          <a:lumMod val="40000"/>
                          <a:lumOff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406-415A-9BEE-CA9F4E88DB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USEP_Demo_01!$F$2:$Q$2</c:f>
              <c:numCache>
                <c:formatCode>mmm\ yyyy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USEP_Demo_01!$F$4:$Q$4</c:f>
              <c:numCache>
                <c:formatCode>_-* #\ ##0_-;\-* #\ ##0_-;_-* 0_-;_-@_-</c:formatCode>
                <c:ptCount val="12"/>
                <c:pt idx="0">
                  <c:v>5252</c:v>
                </c:pt>
                <c:pt idx="1">
                  <c:v>7084</c:v>
                </c:pt>
                <c:pt idx="2">
                  <c:v>7262</c:v>
                </c:pt>
                <c:pt idx="3">
                  <c:v>5243</c:v>
                </c:pt>
                <c:pt idx="4">
                  <c:v>4215</c:v>
                </c:pt>
                <c:pt idx="5">
                  <c:v>3141</c:v>
                </c:pt>
                <c:pt idx="6">
                  <c:v>1639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06-415A-9BEE-CA9F4E88DB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253550911"/>
        <c:axId val="1095809679"/>
      </c:areaChart>
      <c:dateAx>
        <c:axId val="1253550911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5809679"/>
        <c:crosses val="autoZero"/>
        <c:auto val="1"/>
        <c:lblOffset val="100"/>
        <c:baseTimeUnit val="months"/>
      </c:dateAx>
      <c:valAx>
        <c:axId val="1095809679"/>
        <c:scaling>
          <c:orientation val="minMax"/>
        </c:scaling>
        <c:delete val="0"/>
        <c:axPos val="l"/>
        <c:numFmt formatCode="_-* #\ ##0_-;\-* #\ ##0_-;_-* 0_-;_-@_-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3550911"/>
        <c:crosses val="autoZero"/>
        <c:crossBetween val="midCat"/>
        <c:majorUnit val="2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Sollicitations : Guichets physiques - demandes (nombre)</a:t>
            </a:r>
          </a:p>
          <a:p>
            <a:pPr algn="l">
              <a:defRPr>
                <a:solidFill>
                  <a:schemeClr val="tx1"/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2.0128148148148148E-2"/>
          <c:y val="2.17056109574025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ndard"/>
        <c:varyColors val="0"/>
        <c:ser>
          <c:idx val="2"/>
          <c:order val="0"/>
          <c:tx>
            <c:strRef>
              <c:f>USEP_Demo_01!$D$5</c:f>
              <c:strCache>
                <c:ptCount val="1"/>
                <c:pt idx="0">
                  <c:v>Sollicitations : Guichets physiques - demandes (nombre)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accent5">
                  <a:lumMod val="75000"/>
                </a:schemeClr>
              </a:solidFill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0A-4117-8EED-085720F22EE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0A-4117-8EED-085720F22EE1}"/>
                </c:ext>
              </c:extLst>
            </c:dLbl>
            <c:dLbl>
              <c:idx val="2"/>
              <c:layout>
                <c:manualLayout>
                  <c:x val="-4.6292587759531774E-3"/>
                  <c:y val="-0.3128249309899910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0A-4117-8EED-085720F22EE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0A-4117-8EED-085720F22EE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E0A-4117-8EED-085720F22EE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E0A-4117-8EED-085720F22EE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E0A-4117-8EED-085720F22EE1}"/>
                </c:ext>
              </c:extLst>
            </c:dLbl>
            <c:dLbl>
              <c:idx val="7"/>
              <c:layout>
                <c:manualLayout>
                  <c:x val="-2.328083139722058E-3"/>
                  <c:y val="-0.1414079319585599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E0A-4117-8EED-085720F22E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USEP_Demo_01!$F$2:$Q$2</c:f>
              <c:numCache>
                <c:formatCode>mmm\ yyyy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USEP_Demo_01!$F$5:$Q$5</c:f>
              <c:numCache>
                <c:formatCode>_-* #\ ##0_-;\-* #\ ##0_-;_-* 0_-;_-@_-</c:formatCode>
                <c:ptCount val="12"/>
                <c:pt idx="0">
                  <c:v>1505</c:v>
                </c:pt>
                <c:pt idx="1">
                  <c:v>1224</c:v>
                </c:pt>
                <c:pt idx="2">
                  <c:v>1970</c:v>
                </c:pt>
                <c:pt idx="3">
                  <c:v>1546</c:v>
                </c:pt>
                <c:pt idx="4">
                  <c:v>1667</c:v>
                </c:pt>
                <c:pt idx="5">
                  <c:v>1518</c:v>
                </c:pt>
                <c:pt idx="6">
                  <c:v>825</c:v>
                </c:pt>
                <c:pt idx="7">
                  <c:v>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A-4117-8EED-085720F22E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253550911"/>
        <c:axId val="1095809679"/>
      </c:areaChart>
      <c:dateAx>
        <c:axId val="1253550911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5809679"/>
        <c:crosses val="autoZero"/>
        <c:auto val="1"/>
        <c:lblOffset val="100"/>
        <c:baseTimeUnit val="months"/>
      </c:dateAx>
      <c:valAx>
        <c:axId val="1095809679"/>
        <c:scaling>
          <c:orientation val="minMax"/>
        </c:scaling>
        <c:delete val="0"/>
        <c:axPos val="l"/>
        <c:numFmt formatCode="_-* #\ ##0_-;\-* #\ ##0_-;_-* 0_-;_-@_-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3550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Bâtiment : Entrées physiques (nombre)</a:t>
            </a:r>
          </a:p>
          <a:p>
            <a:pPr>
              <a:defRPr>
                <a:solidFill>
                  <a:schemeClr val="tx1"/>
                </a:solidFill>
              </a:defRPr>
            </a:pPr>
            <a:endParaRPr lang="en-US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2.0451822162703297E-2"/>
          <c:y val="2.89346248352492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USEP_Demo_01!$D$3</c:f>
              <c:strCache>
                <c:ptCount val="1"/>
                <c:pt idx="0">
                  <c:v>Bâtiment : Entrées physiques (nombre)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/>
              </a:solidFill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accent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A129-4970-A481-E10C984E8EA7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chemeClr val="accent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29-4970-A481-E10C984E8EA7}"/>
              </c:ext>
            </c:extLst>
          </c:dPt>
          <c:dLbls>
            <c:dLbl>
              <c:idx val="4"/>
              <c:layout>
                <c:manualLayout>
                  <c:x val="-4.6247576244727332E-3"/>
                  <c:y val="-1.120270579255667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29-4970-A481-E10C984E8EA7}"/>
                </c:ext>
              </c:extLst>
            </c:dLbl>
            <c:dLbl>
              <c:idx val="6"/>
              <c:layout>
                <c:manualLayout>
                  <c:x val="9.0976496218420078E-8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29-4970-A481-E10C984E8EA7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29-4970-A481-E10C984E8EA7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29-4970-A481-E10C984E8EA7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29-4970-A481-E10C984E8EA7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29-4970-A481-E10C984E8E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USEP_Demo_01!$F$2:$Q$2</c:f>
              <c:numCache>
                <c:formatCode>mmm\ yyyy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USEP_Demo_01!$F$3:$Q$3</c:f>
              <c:numCache>
                <c:formatCode>_-* #\ ##0_-;\-* #\ ##0_-;_-* 0_-;_-@_-</c:formatCode>
                <c:ptCount val="12"/>
                <c:pt idx="0">
                  <c:v>151902</c:v>
                </c:pt>
                <c:pt idx="1">
                  <c:v>50727</c:v>
                </c:pt>
                <c:pt idx="2">
                  <c:v>175830</c:v>
                </c:pt>
                <c:pt idx="3">
                  <c:v>172017</c:v>
                </c:pt>
                <c:pt idx="4">
                  <c:v>210289</c:v>
                </c:pt>
                <c:pt idx="5">
                  <c:v>169129</c:v>
                </c:pt>
                <c:pt idx="6">
                  <c:v>28845</c:v>
                </c:pt>
                <c:pt idx="7">
                  <c:v>39741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29-4970-A481-E10C984E8E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53550911"/>
        <c:axId val="1095809679"/>
      </c:barChart>
      <c:dateAx>
        <c:axId val="1253550911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5809679"/>
        <c:crosses val="autoZero"/>
        <c:auto val="1"/>
        <c:lblOffset val="100"/>
        <c:baseTimeUnit val="months"/>
      </c:dateAx>
      <c:valAx>
        <c:axId val="1095809679"/>
        <c:scaling>
          <c:orientation val="minMax"/>
        </c:scaling>
        <c:delete val="0"/>
        <c:axPos val="l"/>
        <c:numFmt formatCode="_-* #\ ##0_-;\-* #\ ##0_-;_-* 0_-;_-@_-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3550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3.0617407407407406E-2"/>
          <c:y val="3.18552744012247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 algn="l"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USEP_Demo_01!$D$4</c:f>
              <c:strCache>
                <c:ptCount val="1"/>
                <c:pt idx="0">
                  <c:v>Usage : Prêts  locaux + PER + PEB avec prolongations (nombre)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chemeClr val="accent3"/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313-4E85-A971-3325D7E6E8D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313-4E85-A971-3325D7E6E8D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313-4E85-A971-3325D7E6E8D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313-4E85-A971-3325D7E6E8D3}"/>
                </c:ext>
              </c:extLst>
            </c:dLbl>
            <c:dLbl>
              <c:idx val="2"/>
              <c:layout>
                <c:manualLayout>
                  <c:x val="-4.855298970271078E-3"/>
                  <c:y val="4.1441595219688238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313-4E85-A971-3325D7E6E8D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313-4E85-A971-3325D7E6E8D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313-4E85-A971-3325D7E6E8D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313-4E85-A971-3325D7E6E8D3}"/>
                </c:ext>
              </c:extLst>
            </c:dLbl>
            <c:dLbl>
              <c:idx val="6"/>
              <c:layout>
                <c:manualLayout>
                  <c:x val="-3.0203045874486831E-3"/>
                  <c:y val="-4.4778135277365088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3">
                          <a:lumMod val="40000"/>
                          <a:lumOff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313-4E85-A971-3325D7E6E8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USEP_Demo_01!$F$2:$Q$2</c:f>
              <c:numCache>
                <c:formatCode>mmm\ yyyy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USEP_Demo_01!$F$4:$Q$4</c:f>
              <c:numCache>
                <c:formatCode>_-* #\ ##0_-;\-* #\ ##0_-;_-* 0_-;_-@_-</c:formatCode>
                <c:ptCount val="12"/>
                <c:pt idx="0">
                  <c:v>5252</c:v>
                </c:pt>
                <c:pt idx="1">
                  <c:v>7084</c:v>
                </c:pt>
                <c:pt idx="2">
                  <c:v>7262</c:v>
                </c:pt>
                <c:pt idx="3">
                  <c:v>5243</c:v>
                </c:pt>
                <c:pt idx="4">
                  <c:v>4215</c:v>
                </c:pt>
                <c:pt idx="5">
                  <c:v>3141</c:v>
                </c:pt>
                <c:pt idx="6">
                  <c:v>1639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313-4E85-A971-3325D7E6E8D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53550911"/>
        <c:axId val="1095809679"/>
      </c:barChart>
      <c:dateAx>
        <c:axId val="1253550911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5809679"/>
        <c:crosses val="autoZero"/>
        <c:auto val="1"/>
        <c:lblOffset val="100"/>
        <c:baseTimeUnit val="months"/>
      </c:dateAx>
      <c:valAx>
        <c:axId val="1095809679"/>
        <c:scaling>
          <c:orientation val="minMax"/>
        </c:scaling>
        <c:delete val="0"/>
        <c:axPos val="l"/>
        <c:numFmt formatCode="_-* #\ ##0_-;\-* #\ ##0_-;_-* 0_-;_-@_-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3550911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Sollicitations : Guichets physiques - demandes (nombre)</a:t>
            </a:r>
          </a:p>
          <a:p>
            <a:pPr algn="l">
              <a:defRPr>
                <a:solidFill>
                  <a:schemeClr val="tx1"/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1.7770143596426029E-2"/>
          <c:y val="3.57368850912728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USEP_Demo_01!$D$5</c:f>
              <c:strCache>
                <c:ptCount val="1"/>
                <c:pt idx="0">
                  <c:v>Sollicitations : Guichets physiques - demandes (nombre)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accent5">
                  <a:lumMod val="75000"/>
                </a:schemeClr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solidFill>
                  <a:schemeClr val="accent5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BCF-4043-81B5-7C5F00AFD0A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solidFill>
                  <a:schemeClr val="accent5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BCF-4043-81B5-7C5F00AFD0A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CF-4043-81B5-7C5F00AFD0A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CF-4043-81B5-7C5F00AFD0A9}"/>
                </c:ext>
              </c:extLst>
            </c:dLbl>
            <c:dLbl>
              <c:idx val="2"/>
              <c:layout>
                <c:manualLayout>
                  <c:x val="-4.6292797674739872E-3"/>
                  <c:y val="-6.720587142664984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BCF-4043-81B5-7C5F00AFD0A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CF-4043-81B5-7C5F00AFD0A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BCF-4043-81B5-7C5F00AFD0A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BCF-4043-81B5-7C5F00AFD0A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BCF-4043-81B5-7C5F00AFD0A9}"/>
                </c:ext>
              </c:extLst>
            </c:dLbl>
            <c:dLbl>
              <c:idx val="7"/>
              <c:layout>
                <c:manualLayout>
                  <c:x val="-2.3280085723002752E-3"/>
                  <c:y val="-4.604314798135183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BCF-4043-81B5-7C5F00AFD0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USEP_Demo_01!$F$2:$Q$2</c:f>
              <c:numCache>
                <c:formatCode>mmm\ yyyy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USEP_Demo_01!$F$5:$Q$5</c:f>
              <c:numCache>
                <c:formatCode>_-* #\ ##0_-;\-* #\ ##0_-;_-* 0_-;_-@_-</c:formatCode>
                <c:ptCount val="12"/>
                <c:pt idx="0">
                  <c:v>1505</c:v>
                </c:pt>
                <c:pt idx="1">
                  <c:v>1224</c:v>
                </c:pt>
                <c:pt idx="2">
                  <c:v>1970</c:v>
                </c:pt>
                <c:pt idx="3">
                  <c:v>1546</c:v>
                </c:pt>
                <c:pt idx="4">
                  <c:v>1667</c:v>
                </c:pt>
                <c:pt idx="5">
                  <c:v>1518</c:v>
                </c:pt>
                <c:pt idx="6">
                  <c:v>825</c:v>
                </c:pt>
                <c:pt idx="7">
                  <c:v>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CF-4043-81B5-7C5F00AFD0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53550911"/>
        <c:axId val="1095809679"/>
      </c:barChart>
      <c:dateAx>
        <c:axId val="1253550911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5809679"/>
        <c:crosses val="autoZero"/>
        <c:auto val="1"/>
        <c:lblOffset val="100"/>
        <c:baseTimeUnit val="months"/>
      </c:dateAx>
      <c:valAx>
        <c:axId val="1095809679"/>
        <c:scaling>
          <c:orientation val="minMax"/>
        </c:scaling>
        <c:delete val="0"/>
        <c:axPos val="l"/>
        <c:numFmt formatCode="_-* #\ ##0_-;\-* #\ ##0_-;_-* 0_-;_-@_-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3550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Relation entre entrées et sollicitations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8408429273984729E-2"/>
                  <c:y val="-1.507612946993774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>
                        <a:solidFill>
                          <a:schemeClr val="accent4"/>
                        </a:solidFill>
                      </a:rPr>
                      <a:t>R² = 0.8106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USEP_Demo_01!$F$3:$Q$3</c:f>
              <c:numCache>
                <c:formatCode>_-* #\ ##0_-;\-* #\ ##0_-;_-* 0_-;_-@_-</c:formatCode>
                <c:ptCount val="12"/>
                <c:pt idx="0">
                  <c:v>151902</c:v>
                </c:pt>
                <c:pt idx="1">
                  <c:v>50727</c:v>
                </c:pt>
                <c:pt idx="2">
                  <c:v>175830</c:v>
                </c:pt>
                <c:pt idx="3">
                  <c:v>172017</c:v>
                </c:pt>
                <c:pt idx="4">
                  <c:v>210289</c:v>
                </c:pt>
                <c:pt idx="5">
                  <c:v>169129</c:v>
                </c:pt>
                <c:pt idx="6">
                  <c:v>28845</c:v>
                </c:pt>
                <c:pt idx="7">
                  <c:v>39741</c:v>
                </c:pt>
              </c:numCache>
            </c:numRef>
          </c:xVal>
          <c:yVal>
            <c:numRef>
              <c:f>USEP_Demo_01!$F$5:$Q$5</c:f>
              <c:numCache>
                <c:formatCode>_-* #\ ##0_-;\-* #\ ##0_-;_-* 0_-;_-@_-</c:formatCode>
                <c:ptCount val="12"/>
                <c:pt idx="0">
                  <c:v>1505</c:v>
                </c:pt>
                <c:pt idx="1">
                  <c:v>1224</c:v>
                </c:pt>
                <c:pt idx="2">
                  <c:v>1970</c:v>
                </c:pt>
                <c:pt idx="3">
                  <c:v>1546</c:v>
                </c:pt>
                <c:pt idx="4">
                  <c:v>1667</c:v>
                </c:pt>
                <c:pt idx="5">
                  <c:v>1518</c:v>
                </c:pt>
                <c:pt idx="6">
                  <c:v>825</c:v>
                </c:pt>
                <c:pt idx="7">
                  <c:v>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FD-4F8E-92D1-99E10522E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9792"/>
        <c:axId val="794436400"/>
      </c:scatterChart>
      <c:valAx>
        <c:axId val="94507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Entrées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_-;\-* #\ ##0_-;_-* 0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4436400"/>
        <c:crosses val="autoZero"/>
        <c:crossBetween val="midCat"/>
      </c:valAx>
      <c:valAx>
        <c:axId val="79443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Sollicitations guichet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_-;\-* #\ ##0_-;_-* 0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507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256056</xdr:colOff>
      <xdr:row>10</xdr:row>
      <xdr:rowOff>75080</xdr:rowOff>
    </xdr:from>
    <xdr:to>
      <xdr:col>18</xdr:col>
      <xdr:colOff>1604124</xdr:colOff>
      <xdr:row>35</xdr:row>
      <xdr:rowOff>94130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9B04C4D9-2B80-E1CC-C0ED-83F27A6C8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3090418</xdr:colOff>
      <xdr:row>10</xdr:row>
      <xdr:rowOff>7845</xdr:rowOff>
    </xdr:from>
    <xdr:to>
      <xdr:col>22</xdr:col>
      <xdr:colOff>212678</xdr:colOff>
      <xdr:row>35</xdr:row>
      <xdr:rowOff>26895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55B30111-D0F2-48B7-90EA-E2DC274A57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401710</xdr:colOff>
      <xdr:row>9</xdr:row>
      <xdr:rowOff>164727</xdr:rowOff>
    </xdr:from>
    <xdr:to>
      <xdr:col>30</xdr:col>
      <xdr:colOff>394915</xdr:colOff>
      <xdr:row>35</xdr:row>
      <xdr:rowOff>15689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4C273645-C16A-4F5A-986B-AADA6B4D61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532281</xdr:colOff>
      <xdr:row>36</xdr:row>
      <xdr:rowOff>114301</xdr:rowOff>
    </xdr:from>
    <xdr:to>
      <xdr:col>18</xdr:col>
      <xdr:colOff>2123517</xdr:colOff>
      <xdr:row>59</xdr:row>
      <xdr:rowOff>17370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CDF829DF-7B31-460C-A569-FD85B6D6D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2438178</xdr:colOff>
      <xdr:row>36</xdr:row>
      <xdr:rowOff>114301</xdr:rowOff>
    </xdr:from>
    <xdr:to>
      <xdr:col>23</xdr:col>
      <xdr:colOff>184561</xdr:colOff>
      <xdr:row>59</xdr:row>
      <xdr:rowOff>16619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9E56C6FD-F98E-4494-97E9-A834FBE094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432548</xdr:colOff>
      <xdr:row>36</xdr:row>
      <xdr:rowOff>114301</xdr:rowOff>
    </xdr:from>
    <xdr:to>
      <xdr:col>31</xdr:col>
      <xdr:colOff>364077</xdr:colOff>
      <xdr:row>59</xdr:row>
      <xdr:rowOff>16619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1992E9E0-E0A1-4864-9B67-1DAA6B237E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515473</xdr:colOff>
      <xdr:row>63</xdr:row>
      <xdr:rowOff>56030</xdr:rowOff>
    </xdr:from>
    <xdr:to>
      <xdr:col>18</xdr:col>
      <xdr:colOff>2140325</xdr:colOff>
      <xdr:row>86</xdr:row>
      <xdr:rowOff>138394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E2C234A-DD2D-457A-8638-8236BEB60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2464172</xdr:colOff>
      <xdr:row>63</xdr:row>
      <xdr:rowOff>56030</xdr:rowOff>
    </xdr:from>
    <xdr:to>
      <xdr:col>23</xdr:col>
      <xdr:colOff>158568</xdr:colOff>
      <xdr:row>86</xdr:row>
      <xdr:rowOff>137643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A3A9383-17A1-47A1-B1AE-D05762015E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488205</xdr:colOff>
      <xdr:row>63</xdr:row>
      <xdr:rowOff>56030</xdr:rowOff>
    </xdr:from>
    <xdr:to>
      <xdr:col>31</xdr:col>
      <xdr:colOff>364077</xdr:colOff>
      <xdr:row>86</xdr:row>
      <xdr:rowOff>137643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E8246D93-458C-4FB4-B755-8B9B5A17F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409014</xdr:colOff>
      <xdr:row>62</xdr:row>
      <xdr:rowOff>23531</xdr:rowOff>
    </xdr:from>
    <xdr:to>
      <xdr:col>7</xdr:col>
      <xdr:colOff>515471</xdr:colOff>
      <xdr:row>87</xdr:row>
      <xdr:rowOff>134470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18410834-9B72-7AEF-226D-42D994D6E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249619</xdr:colOff>
      <xdr:row>12</xdr:row>
      <xdr:rowOff>32844</xdr:rowOff>
    </xdr:from>
    <xdr:to>
      <xdr:col>12</xdr:col>
      <xdr:colOff>105101</xdr:colOff>
      <xdr:row>16</xdr:row>
      <xdr:rowOff>59121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CD5A2094-1E01-8B9C-C7DE-A93887A54508}"/>
            </a:ext>
          </a:extLst>
        </xdr:cNvPr>
        <xdr:cNvSpPr txBox="1"/>
      </xdr:nvSpPr>
      <xdr:spPr>
        <a:xfrm>
          <a:off x="11935809" y="2883775"/>
          <a:ext cx="2161189" cy="722587"/>
        </a:xfrm>
        <a:prstGeom prst="rect">
          <a:avLst/>
        </a:prstGeom>
        <a:solidFill>
          <a:schemeClr val="lt1"/>
        </a:solidFill>
        <a:ln w="28575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H" sz="1100"/>
            <a:t>Equipe ✅</a:t>
          </a:r>
        </a:p>
        <a:p>
          <a:r>
            <a:rPr lang="fr-CH" sz="1100"/>
            <a:t>Indicateur ✅</a:t>
          </a:r>
          <a:br>
            <a:rPr lang="fr-CH" sz="1100"/>
          </a:br>
          <a:r>
            <a:rPr lang="fr-CH" sz="1100"/>
            <a:t>Date ❌</a:t>
          </a:r>
        </a:p>
        <a:p>
          <a:endParaRPr lang="fr-CH" sz="1100"/>
        </a:p>
      </xdr:txBody>
    </xdr:sp>
    <xdr:clientData/>
  </xdr:twoCellAnchor>
  <xdr:twoCellAnchor>
    <xdr:from>
      <xdr:col>5</xdr:col>
      <xdr:colOff>518949</xdr:colOff>
      <xdr:row>21</xdr:row>
      <xdr:rowOff>98535</xdr:rowOff>
    </xdr:from>
    <xdr:to>
      <xdr:col>8</xdr:col>
      <xdr:colOff>39413</xdr:colOff>
      <xdr:row>25</xdr:row>
      <xdr:rowOff>59122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211B9AC2-099B-4450-824A-06A68E795388}"/>
            </a:ext>
          </a:extLst>
        </xdr:cNvPr>
        <xdr:cNvSpPr txBox="1"/>
      </xdr:nvSpPr>
      <xdr:spPr>
        <a:xfrm>
          <a:off x="8822121" y="3842845"/>
          <a:ext cx="2161189" cy="722587"/>
        </a:xfrm>
        <a:prstGeom prst="rect">
          <a:avLst/>
        </a:prstGeom>
        <a:solidFill>
          <a:schemeClr val="lt1"/>
        </a:solidFill>
        <a:ln w="19050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H" sz="1100"/>
            <a:t>Equipe ❌</a:t>
          </a:r>
        </a:p>
        <a:p>
          <a:r>
            <a:rPr lang="fr-CH" sz="1100"/>
            <a:t>Indicateur ✅</a:t>
          </a:r>
          <a:br>
            <a:rPr lang="fr-CH" sz="1100"/>
          </a:br>
          <a:r>
            <a:rPr lang="fr-CH" sz="1100"/>
            <a:t>Date  ✅</a:t>
          </a:r>
        </a:p>
      </xdr:txBody>
    </xdr:sp>
    <xdr:clientData/>
  </xdr:twoCellAnchor>
  <xdr:twoCellAnchor>
    <xdr:from>
      <xdr:col>10</xdr:col>
      <xdr:colOff>331733</xdr:colOff>
      <xdr:row>10</xdr:row>
      <xdr:rowOff>101819</xdr:rowOff>
    </xdr:from>
    <xdr:to>
      <xdr:col>10</xdr:col>
      <xdr:colOff>663465</xdr:colOff>
      <xdr:row>11</xdr:row>
      <xdr:rowOff>157656</xdr:rowOff>
    </xdr:to>
    <xdr:sp macro="" textlink="">
      <xdr:nvSpPr>
        <xdr:cNvPr id="4" name="Flèche : droite 3">
          <a:extLst>
            <a:ext uri="{FF2B5EF4-FFF2-40B4-BE49-F238E27FC236}">
              <a16:creationId xmlns:a16="http://schemas.microsoft.com/office/drawing/2014/main" id="{658E783C-3ECD-26D0-CFB7-6830783F42D8}"/>
            </a:ext>
          </a:extLst>
        </xdr:cNvPr>
        <xdr:cNvSpPr/>
      </xdr:nvSpPr>
      <xdr:spPr>
        <a:xfrm rot="16200000">
          <a:off x="12845612" y="2519199"/>
          <a:ext cx="252906" cy="331732"/>
        </a:xfrm>
        <a:prstGeom prst="rightArrow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5</xdr:col>
      <xdr:colOff>135978</xdr:colOff>
      <xdr:row>22</xdr:row>
      <xdr:rowOff>116272</xdr:rowOff>
    </xdr:from>
    <xdr:to>
      <xdr:col>5</xdr:col>
      <xdr:colOff>388884</xdr:colOff>
      <xdr:row>24</xdr:row>
      <xdr:rowOff>53866</xdr:rowOff>
    </xdr:to>
    <xdr:sp macro="" textlink="">
      <xdr:nvSpPr>
        <xdr:cNvPr id="5" name="Flèche : droite 4">
          <a:extLst>
            <a:ext uri="{FF2B5EF4-FFF2-40B4-BE49-F238E27FC236}">
              <a16:creationId xmlns:a16="http://schemas.microsoft.com/office/drawing/2014/main" id="{FA35FC15-FF65-4CCA-BD94-DDCD6445B3B6}"/>
            </a:ext>
          </a:extLst>
        </xdr:cNvPr>
        <xdr:cNvSpPr/>
      </xdr:nvSpPr>
      <xdr:spPr>
        <a:xfrm rot="10800000">
          <a:off x="8439150" y="4057651"/>
          <a:ext cx="252906" cy="331732"/>
        </a:xfrm>
        <a:prstGeom prst="rightArrow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24</xdr:col>
      <xdr:colOff>718039</xdr:colOff>
      <xdr:row>7</xdr:row>
      <xdr:rowOff>568467</xdr:rowOff>
    </xdr:from>
    <xdr:to>
      <xdr:col>26</xdr:col>
      <xdr:colOff>829963</xdr:colOff>
      <xdr:row>11</xdr:row>
      <xdr:rowOff>15917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78AFE09B-EADF-4A48-90CD-0A6B465957D6}"/>
            </a:ext>
          </a:extLst>
        </xdr:cNvPr>
        <xdr:cNvSpPr txBox="1"/>
      </xdr:nvSpPr>
      <xdr:spPr>
        <a:xfrm>
          <a:off x="26201077" y="1953255"/>
          <a:ext cx="2163463" cy="729662"/>
        </a:xfrm>
        <a:prstGeom prst="rect">
          <a:avLst/>
        </a:prstGeom>
        <a:solidFill>
          <a:schemeClr val="lt1"/>
        </a:solidFill>
        <a:ln w="28575" cmpd="sng">
          <a:solidFill>
            <a:schemeClr val="accent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H" sz="1100"/>
            <a:t>Equipe ✅</a:t>
          </a:r>
        </a:p>
        <a:p>
          <a:r>
            <a:rPr lang="fr-CH" sz="1100"/>
            <a:t>Indicateur ✅</a:t>
          </a:r>
          <a:br>
            <a:rPr lang="fr-CH" sz="1100"/>
          </a:br>
          <a:r>
            <a:rPr lang="fr-CH" sz="1100"/>
            <a:t>Date ✅</a:t>
          </a:r>
        </a:p>
        <a:p>
          <a:endParaRPr lang="fr-CH" sz="1100"/>
        </a:p>
      </xdr:txBody>
    </xdr:sp>
    <xdr:clientData/>
  </xdr:twoCellAnchor>
  <xdr:twoCellAnchor>
    <xdr:from>
      <xdr:col>24</xdr:col>
      <xdr:colOff>267687</xdr:colOff>
      <xdr:row>8</xdr:row>
      <xdr:rowOff>122158</xdr:rowOff>
    </xdr:from>
    <xdr:to>
      <xdr:col>24</xdr:col>
      <xdr:colOff>521351</xdr:colOff>
      <xdr:row>10</xdr:row>
      <xdr:rowOff>58236</xdr:rowOff>
    </xdr:to>
    <xdr:sp macro="" textlink="">
      <xdr:nvSpPr>
        <xdr:cNvPr id="7" name="Flèche : droite 6">
          <a:extLst>
            <a:ext uri="{FF2B5EF4-FFF2-40B4-BE49-F238E27FC236}">
              <a16:creationId xmlns:a16="http://schemas.microsoft.com/office/drawing/2014/main" id="{F100F48C-3932-4179-813D-7BC6A8AD173C}"/>
            </a:ext>
          </a:extLst>
        </xdr:cNvPr>
        <xdr:cNvSpPr/>
      </xdr:nvSpPr>
      <xdr:spPr>
        <a:xfrm rot="10800000">
          <a:off x="25750725" y="2195677"/>
          <a:ext cx="253664" cy="331732"/>
        </a:xfrm>
        <a:prstGeom prst="rightArrow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1</xdr:col>
      <xdr:colOff>38100</xdr:colOff>
      <xdr:row>17</xdr:row>
      <xdr:rowOff>104775</xdr:rowOff>
    </xdr:from>
    <xdr:to>
      <xdr:col>19</xdr:col>
      <xdr:colOff>85725</xdr:colOff>
      <xdr:row>17</xdr:row>
      <xdr:rowOff>104775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50FB9980-CC94-247A-8114-2D283825FCFF}"/>
            </a:ext>
          </a:extLst>
        </xdr:cNvPr>
        <xdr:cNvCxnSpPr/>
      </xdr:nvCxnSpPr>
      <xdr:spPr>
        <a:xfrm>
          <a:off x="723900" y="3895725"/>
          <a:ext cx="18288000" cy="0"/>
        </a:xfrm>
        <a:prstGeom prst="line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390525</xdr:colOff>
      <xdr:row>0</xdr:row>
      <xdr:rowOff>123825</xdr:rowOff>
    </xdr:from>
    <xdr:to>
      <xdr:col>19</xdr:col>
      <xdr:colOff>390525</xdr:colOff>
      <xdr:row>46</xdr:row>
      <xdr:rowOff>76200</xdr:rowOff>
    </xdr:to>
    <xdr:cxnSp macro="">
      <xdr:nvCxnSpPr>
        <xdr:cNvPr id="13" name="Connecteur droit 12">
          <a:extLst>
            <a:ext uri="{FF2B5EF4-FFF2-40B4-BE49-F238E27FC236}">
              <a16:creationId xmlns:a16="http://schemas.microsoft.com/office/drawing/2014/main" id="{C35028B2-03EC-0860-70A7-4AFAC714AFDC}"/>
            </a:ext>
          </a:extLst>
        </xdr:cNvPr>
        <xdr:cNvCxnSpPr/>
      </xdr:nvCxnSpPr>
      <xdr:spPr>
        <a:xfrm>
          <a:off x="19316700" y="123825"/>
          <a:ext cx="0" cy="9477375"/>
        </a:xfrm>
        <a:prstGeom prst="line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361950</xdr:colOff>
      <xdr:row>0</xdr:row>
      <xdr:rowOff>104775</xdr:rowOff>
    </xdr:from>
    <xdr:to>
      <xdr:col>27</xdr:col>
      <xdr:colOff>361950</xdr:colOff>
      <xdr:row>46</xdr:row>
      <xdr:rowOff>133350</xdr:rowOff>
    </xdr:to>
    <xdr:cxnSp macro="">
      <xdr:nvCxnSpPr>
        <xdr:cNvPr id="15" name="Connecteur droit 14">
          <a:extLst>
            <a:ext uri="{FF2B5EF4-FFF2-40B4-BE49-F238E27FC236}">
              <a16:creationId xmlns:a16="http://schemas.microsoft.com/office/drawing/2014/main" id="{C007F0A4-F692-496E-8E73-70C2C7BA803A}"/>
            </a:ext>
          </a:extLst>
        </xdr:cNvPr>
        <xdr:cNvCxnSpPr/>
      </xdr:nvCxnSpPr>
      <xdr:spPr>
        <a:xfrm>
          <a:off x="29003625" y="104775"/>
          <a:ext cx="0" cy="9553575"/>
        </a:xfrm>
        <a:prstGeom prst="line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neviève Agnès Guex" refreshedDate="46304.687557754631" createdVersion="8" refreshedVersion="8" minRefreshableVersion="3" recordCount="36" xr:uid="{789FF184-8E4A-49F0-88CF-9E4C929D885D}">
  <cacheSource type="worksheet">
    <worksheetSource ref="U7:X43" sheet="USEP_Demo_02"/>
  </cacheSource>
  <cacheFields count="6">
    <cacheField name="Indicateur" numFmtId="0">
      <sharedItems count="3">
        <s v="Bâtiment : Entrées physiques (nombre)"/>
        <s v="Usage : Prêts  locaux + PER + PEB avec prolongations (nombre)"/>
        <s v="Sollicitations : Guichets physiques - demandes (nombre)"/>
      </sharedItems>
    </cacheField>
    <cacheField name="Équipe" numFmtId="0">
      <sharedItems count="2">
        <s v="ASAP"/>
        <s v="FDOC"/>
      </sharedItems>
    </cacheField>
    <cacheField name="Date" numFmtId="14">
      <sharedItems containsSemiMixedTypes="0" containsNonDate="0" containsDate="1" containsString="0" minDate="2026-01-31T00:00:00" maxDate="2027-01-01T00:00:00" count="12">
        <d v="2026-01-31T00:00:00"/>
        <d v="2026-02-28T00:00:00"/>
        <d v="2026-03-31T00:00:00"/>
        <d v="2026-04-30T00:00:00"/>
        <d v="2026-05-31T00:00:00"/>
        <d v="2026-06-30T00:00:00"/>
        <d v="2026-07-31T00:00:00"/>
        <d v="2026-08-31T00:00:00"/>
        <d v="2026-09-30T00:00:00"/>
        <d v="2026-10-31T00:00:00"/>
        <d v="2026-11-30T00:00:00"/>
        <d v="2026-12-31T00:00:00"/>
      </sharedItems>
      <fieldGroup par="5"/>
    </cacheField>
    <cacheField name="Valeur" numFmtId="0">
      <sharedItems containsSemiMixedTypes="0" containsString="0" containsNumber="1" containsInteger="1" minValue="0" maxValue="210289" count="24">
        <n v="151902"/>
        <n v="50727"/>
        <n v="175830"/>
        <n v="172017"/>
        <n v="210289"/>
        <n v="169129"/>
        <n v="28845"/>
        <n v="39741"/>
        <n v="0"/>
        <n v="5252"/>
        <n v="7084"/>
        <n v="7262"/>
        <n v="5243"/>
        <n v="4215"/>
        <n v="3141"/>
        <n v="1639"/>
        <n v="1505"/>
        <n v="1224"/>
        <n v="1970"/>
        <n v="1546"/>
        <n v="1667"/>
        <n v="1518"/>
        <n v="825"/>
        <n v="792"/>
      </sharedItems>
    </cacheField>
    <cacheField name="Jours (Date)" numFmtId="0" databaseField="0">
      <fieldGroup base="2">
        <rangePr groupBy="days" startDate="2026-01-31T00:00:00" endDate="2027-01-01T00:00:00"/>
        <groupItems count="368">
          <s v="&lt;31.01.2026"/>
          <s v="01.janv"/>
          <s v="02.janv"/>
          <s v="03.janv"/>
          <s v="04.janv"/>
          <s v="05.janv"/>
          <s v="06.janv"/>
          <s v="07.janv"/>
          <s v="08.janv"/>
          <s v="09.janv"/>
          <s v="10.janv"/>
          <s v="11.janv"/>
          <s v="12.janv"/>
          <s v="13.janv"/>
          <s v="14.janv"/>
          <s v="15.janv"/>
          <s v="16.janv"/>
          <s v="17.janv"/>
          <s v="18.janv"/>
          <s v="19.janv"/>
          <s v="20.janv"/>
          <s v="21.janv"/>
          <s v="22.janv"/>
          <s v="23.janv"/>
          <s v="24.janv"/>
          <s v="25.janv"/>
          <s v="26.janv"/>
          <s v="27.janv"/>
          <s v="28.janv"/>
          <s v="29.janv"/>
          <s v="30.janv"/>
          <s v="31.janv"/>
          <s v="01.févr"/>
          <s v="02.févr"/>
          <s v="03.févr"/>
          <s v="04.févr"/>
          <s v="05.févr"/>
          <s v="06.févr"/>
          <s v="07.févr"/>
          <s v="08.févr"/>
          <s v="09.févr"/>
          <s v="10.févr"/>
          <s v="11.févr"/>
          <s v="12.févr"/>
          <s v="13.févr"/>
          <s v="14.févr"/>
          <s v="15.févr"/>
          <s v="16.févr"/>
          <s v="17.févr"/>
          <s v="18.févr"/>
          <s v="19.févr"/>
          <s v="20.févr"/>
          <s v="21.févr"/>
          <s v="22.févr"/>
          <s v="23.févr"/>
          <s v="24.févr"/>
          <s v="25.févr"/>
          <s v="26.févr"/>
          <s v="27.févr"/>
          <s v="28.févr"/>
          <s v="29.févr"/>
          <s v="01.mars"/>
          <s v="02.mars"/>
          <s v="03.mars"/>
          <s v="04.mars"/>
          <s v="05.mars"/>
          <s v="06.mars"/>
          <s v="07.mars"/>
          <s v="08.mars"/>
          <s v="09.mars"/>
          <s v="10.mars"/>
          <s v="11.mars"/>
          <s v="12.mars"/>
          <s v="13.mars"/>
          <s v="14.mars"/>
          <s v="15.mars"/>
          <s v="16.mars"/>
          <s v="17.mars"/>
          <s v="18.mars"/>
          <s v="19.mars"/>
          <s v="20.mars"/>
          <s v="21.mars"/>
          <s v="22.mars"/>
          <s v="23.mars"/>
          <s v="24.mars"/>
          <s v="25.mars"/>
          <s v="26.mars"/>
          <s v="27.mars"/>
          <s v="28.mars"/>
          <s v="29.mars"/>
          <s v="30.mars"/>
          <s v="31.mars"/>
          <s v="01.avr"/>
          <s v="02.avr"/>
          <s v="03.avr"/>
          <s v="04.avr"/>
          <s v="05.avr"/>
          <s v="06.avr"/>
          <s v="07.avr"/>
          <s v="08.avr"/>
          <s v="09.avr"/>
          <s v="10.avr"/>
          <s v="11.avr"/>
          <s v="12.avr"/>
          <s v="13.avr"/>
          <s v="14.avr"/>
          <s v="15.avr"/>
          <s v="16.avr"/>
          <s v="17.avr"/>
          <s v="18.avr"/>
          <s v="19.avr"/>
          <s v="20.avr"/>
          <s v="21.avr"/>
          <s v="22.avr"/>
          <s v="23.avr"/>
          <s v="24.avr"/>
          <s v="25.avr"/>
          <s v="26.avr"/>
          <s v="27.avr"/>
          <s v="28.avr"/>
          <s v="29.avr"/>
          <s v="30.avr"/>
          <s v="01.mai"/>
          <s v="02.mai"/>
          <s v="03.mai"/>
          <s v="04.mai"/>
          <s v="05.mai"/>
          <s v="06.mai"/>
          <s v="07.mai"/>
          <s v="08.mai"/>
          <s v="09.mai"/>
          <s v="10.mai"/>
          <s v="11.mai"/>
          <s v="12.mai"/>
          <s v="13.mai"/>
          <s v="14.mai"/>
          <s v="15.mai"/>
          <s v="16.mai"/>
          <s v="17.mai"/>
          <s v="18.mai"/>
          <s v="19.mai"/>
          <s v="20.mai"/>
          <s v="21.mai"/>
          <s v="22.mai"/>
          <s v="23.mai"/>
          <s v="24.mai"/>
          <s v="25.mai"/>
          <s v="26.mai"/>
          <s v="27.mai"/>
          <s v="28.mai"/>
          <s v="29.mai"/>
          <s v="30.mai"/>
          <s v="31.mai"/>
          <s v="01.juin"/>
          <s v="02.juin"/>
          <s v="03.juin"/>
          <s v="04.juin"/>
          <s v="05.juin"/>
          <s v="06.juin"/>
          <s v="07.juin"/>
          <s v="08.juin"/>
          <s v="09.juin"/>
          <s v="10.juin"/>
          <s v="11.juin"/>
          <s v="12.juin"/>
          <s v="13.juin"/>
          <s v="14.juin"/>
          <s v="15.juin"/>
          <s v="16.juin"/>
          <s v="17.juin"/>
          <s v="18.juin"/>
          <s v="19.juin"/>
          <s v="20.juin"/>
          <s v="21.juin"/>
          <s v="22.juin"/>
          <s v="23.juin"/>
          <s v="24.juin"/>
          <s v="25.juin"/>
          <s v="26.juin"/>
          <s v="27.juin"/>
          <s v="28.juin"/>
          <s v="29.juin"/>
          <s v="30.juin"/>
          <s v="01.juil"/>
          <s v="02.juil"/>
          <s v="03.juil"/>
          <s v="04.juil"/>
          <s v="05.juil"/>
          <s v="06.juil"/>
          <s v="07.juil"/>
          <s v="08.juil"/>
          <s v="09.juil"/>
          <s v="10.juil"/>
          <s v="11.juil"/>
          <s v="12.juil"/>
          <s v="13.juil"/>
          <s v="14.juil"/>
          <s v="15.juil"/>
          <s v="16.juil"/>
          <s v="17.juil"/>
          <s v="18.juil"/>
          <s v="19.juil"/>
          <s v="20.juil"/>
          <s v="21.juil"/>
          <s v="22.juil"/>
          <s v="23.juil"/>
          <s v="24.juil"/>
          <s v="25.juil"/>
          <s v="26.juil"/>
          <s v="27.juil"/>
          <s v="28.juil"/>
          <s v="29.juil"/>
          <s v="30.juil"/>
          <s v="31.juil"/>
          <s v="01.août"/>
          <s v="02.août"/>
          <s v="03.août"/>
          <s v="04.août"/>
          <s v="05.août"/>
          <s v="06.août"/>
          <s v="07.août"/>
          <s v="08.août"/>
          <s v="09.août"/>
          <s v="10.août"/>
          <s v="11.août"/>
          <s v="12.août"/>
          <s v="13.août"/>
          <s v="14.août"/>
          <s v="15.août"/>
          <s v="16.août"/>
          <s v="17.août"/>
          <s v="18.août"/>
          <s v="19.août"/>
          <s v="20.août"/>
          <s v="21.août"/>
          <s v="22.août"/>
          <s v="23.août"/>
          <s v="24.août"/>
          <s v="25.août"/>
          <s v="26.août"/>
          <s v="27.août"/>
          <s v="28.août"/>
          <s v="29.août"/>
          <s v="30.août"/>
          <s v="31.août"/>
          <s v="01.sept"/>
          <s v="02.sept"/>
          <s v="03.sept"/>
          <s v="04.sept"/>
          <s v="05.sept"/>
          <s v="06.sept"/>
          <s v="07.sept"/>
          <s v="08.sept"/>
          <s v="09.sept"/>
          <s v="10.sept"/>
          <s v="11.sept"/>
          <s v="12.sept"/>
          <s v="13.sept"/>
          <s v="14.sept"/>
          <s v="15.sept"/>
          <s v="16.sept"/>
          <s v="17.sept"/>
          <s v="18.sept"/>
          <s v="19.sept"/>
          <s v="20.sept"/>
          <s v="21.sept"/>
          <s v="22.sept"/>
          <s v="23.sept"/>
          <s v="24.sept"/>
          <s v="25.sept"/>
          <s v="26.sept"/>
          <s v="27.sept"/>
          <s v="28.sept"/>
          <s v="29.sept"/>
          <s v="30.sept"/>
          <s v="01.oct"/>
          <s v="02.oct"/>
          <s v="03.oct"/>
          <s v="04.oct"/>
          <s v="05.oct"/>
          <s v="06.oct"/>
          <s v="07.oct"/>
          <s v="08.oct"/>
          <s v="09.oct"/>
          <s v="10.oct"/>
          <s v="11.oct"/>
          <s v="12.oct"/>
          <s v="13.oct"/>
          <s v="14.oct"/>
          <s v="15.oct"/>
          <s v="16.oct"/>
          <s v="17.oct"/>
          <s v="18.oct"/>
          <s v="19.oct"/>
          <s v="20.oct"/>
          <s v="21.oct"/>
          <s v="22.oct"/>
          <s v="23.oct"/>
          <s v="24.oct"/>
          <s v="25.oct"/>
          <s v="26.oct"/>
          <s v="27.oct"/>
          <s v="28.oct"/>
          <s v="29.oct"/>
          <s v="30.oct"/>
          <s v="31.oct"/>
          <s v="01.nov"/>
          <s v="02.nov"/>
          <s v="03.nov"/>
          <s v="04.nov"/>
          <s v="05.nov"/>
          <s v="06.nov"/>
          <s v="07.nov"/>
          <s v="08.nov"/>
          <s v="09.nov"/>
          <s v="10.nov"/>
          <s v="11.nov"/>
          <s v="12.nov"/>
          <s v="13.nov"/>
          <s v="14.nov"/>
          <s v="15.nov"/>
          <s v="16.nov"/>
          <s v="17.nov"/>
          <s v="18.nov"/>
          <s v="19.nov"/>
          <s v="20.nov"/>
          <s v="21.nov"/>
          <s v="22.nov"/>
          <s v="23.nov"/>
          <s v="24.nov"/>
          <s v="25.nov"/>
          <s v="26.nov"/>
          <s v="27.nov"/>
          <s v="28.nov"/>
          <s v="29.nov"/>
          <s v="30.nov"/>
          <s v="01.déc"/>
          <s v="02.déc"/>
          <s v="03.déc"/>
          <s v="04.déc"/>
          <s v="05.déc"/>
          <s v="06.déc"/>
          <s v="07.déc"/>
          <s v="08.déc"/>
          <s v="09.déc"/>
          <s v="10.déc"/>
          <s v="11.déc"/>
          <s v="12.déc"/>
          <s v="13.déc"/>
          <s v="14.déc"/>
          <s v="15.déc"/>
          <s v="16.déc"/>
          <s v="17.déc"/>
          <s v="18.déc"/>
          <s v="19.déc"/>
          <s v="20.déc"/>
          <s v="21.déc"/>
          <s v="22.déc"/>
          <s v="23.déc"/>
          <s v="24.déc"/>
          <s v="25.déc"/>
          <s v="26.déc"/>
          <s v="27.déc"/>
          <s v="28.déc"/>
          <s v="29.déc"/>
          <s v="30.déc"/>
          <s v="31.déc"/>
          <s v="&gt;01.01.2027"/>
        </groupItems>
      </fieldGroup>
    </cacheField>
    <cacheField name="Mois (Date)" numFmtId="0" databaseField="0">
      <fieldGroup base="2">
        <rangePr groupBy="months" startDate="2026-01-31T00:00:00" endDate="2027-01-01T00:00:00"/>
        <groupItems count="14">
          <s v="&lt;31.01.2026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1.01.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x v="0"/>
  </r>
  <r>
    <x v="0"/>
    <x v="0"/>
    <x v="1"/>
    <x v="1"/>
  </r>
  <r>
    <x v="0"/>
    <x v="0"/>
    <x v="2"/>
    <x v="2"/>
  </r>
  <r>
    <x v="0"/>
    <x v="0"/>
    <x v="3"/>
    <x v="3"/>
  </r>
  <r>
    <x v="0"/>
    <x v="0"/>
    <x v="4"/>
    <x v="4"/>
  </r>
  <r>
    <x v="0"/>
    <x v="0"/>
    <x v="5"/>
    <x v="5"/>
  </r>
  <r>
    <x v="0"/>
    <x v="0"/>
    <x v="6"/>
    <x v="6"/>
  </r>
  <r>
    <x v="0"/>
    <x v="0"/>
    <x v="7"/>
    <x v="7"/>
  </r>
  <r>
    <x v="0"/>
    <x v="0"/>
    <x v="8"/>
    <x v="8"/>
  </r>
  <r>
    <x v="0"/>
    <x v="0"/>
    <x v="9"/>
    <x v="8"/>
  </r>
  <r>
    <x v="0"/>
    <x v="0"/>
    <x v="10"/>
    <x v="8"/>
  </r>
  <r>
    <x v="0"/>
    <x v="0"/>
    <x v="11"/>
    <x v="8"/>
  </r>
  <r>
    <x v="1"/>
    <x v="1"/>
    <x v="0"/>
    <x v="9"/>
  </r>
  <r>
    <x v="1"/>
    <x v="1"/>
    <x v="1"/>
    <x v="10"/>
  </r>
  <r>
    <x v="1"/>
    <x v="1"/>
    <x v="2"/>
    <x v="11"/>
  </r>
  <r>
    <x v="1"/>
    <x v="1"/>
    <x v="3"/>
    <x v="12"/>
  </r>
  <r>
    <x v="1"/>
    <x v="1"/>
    <x v="4"/>
    <x v="13"/>
  </r>
  <r>
    <x v="1"/>
    <x v="1"/>
    <x v="5"/>
    <x v="14"/>
  </r>
  <r>
    <x v="1"/>
    <x v="1"/>
    <x v="6"/>
    <x v="15"/>
  </r>
  <r>
    <x v="1"/>
    <x v="1"/>
    <x v="7"/>
    <x v="8"/>
  </r>
  <r>
    <x v="1"/>
    <x v="1"/>
    <x v="8"/>
    <x v="8"/>
  </r>
  <r>
    <x v="1"/>
    <x v="1"/>
    <x v="9"/>
    <x v="8"/>
  </r>
  <r>
    <x v="1"/>
    <x v="1"/>
    <x v="10"/>
    <x v="8"/>
  </r>
  <r>
    <x v="1"/>
    <x v="1"/>
    <x v="11"/>
    <x v="8"/>
  </r>
  <r>
    <x v="2"/>
    <x v="0"/>
    <x v="0"/>
    <x v="16"/>
  </r>
  <r>
    <x v="2"/>
    <x v="0"/>
    <x v="1"/>
    <x v="17"/>
  </r>
  <r>
    <x v="2"/>
    <x v="0"/>
    <x v="2"/>
    <x v="18"/>
  </r>
  <r>
    <x v="2"/>
    <x v="0"/>
    <x v="3"/>
    <x v="19"/>
  </r>
  <r>
    <x v="2"/>
    <x v="0"/>
    <x v="4"/>
    <x v="20"/>
  </r>
  <r>
    <x v="2"/>
    <x v="0"/>
    <x v="5"/>
    <x v="21"/>
  </r>
  <r>
    <x v="2"/>
    <x v="0"/>
    <x v="6"/>
    <x v="22"/>
  </r>
  <r>
    <x v="2"/>
    <x v="0"/>
    <x v="7"/>
    <x v="23"/>
  </r>
  <r>
    <x v="2"/>
    <x v="0"/>
    <x v="8"/>
    <x v="8"/>
  </r>
  <r>
    <x v="2"/>
    <x v="0"/>
    <x v="9"/>
    <x v="8"/>
  </r>
  <r>
    <x v="2"/>
    <x v="0"/>
    <x v="10"/>
    <x v="8"/>
  </r>
  <r>
    <x v="2"/>
    <x v="0"/>
    <x v="11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4DD02E-837C-429B-90E1-3825EDE2D0C9}" name="Tableau croisé dynamique1" cacheId="0" applyNumberFormats="0" applyBorderFormats="0" applyFontFormats="0" applyPatternFormats="0" applyAlignmentFormats="0" applyWidthHeightFormats="1" dataCaption="Valeurs" updatedVersion="8" minRefreshableVersion="3" rowGrandTotals="0" colGrandTotals="0" itemPrintTitles="1" createdVersion="8" indent="0" outline="1" outlineData="1" multipleFieldFilters="0" rowHeaderCaption="  ">
  <location ref="AC7:AG46" firstHeaderRow="0" firstDataRow="1" firstDataCol="1" rowPageCount="1" colPageCount="1"/>
  <pivotFields count="6">
    <pivotField axis="axisRow" showAll="0">
      <items count="4">
        <item x="0"/>
        <item x="2"/>
        <item x="1"/>
        <item t="default"/>
      </items>
    </pivotField>
    <pivotField axis="axisPage" showAll="0">
      <items count="3">
        <item x="0"/>
        <item x="1"/>
        <item t="default"/>
      </items>
    </pivotField>
    <pivotField axis="axisRow" numFmtId="167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>
      <items count="25">
        <item x="8"/>
        <item x="23"/>
        <item x="22"/>
        <item x="17"/>
        <item x="16"/>
        <item x="21"/>
        <item x="19"/>
        <item x="15"/>
        <item x="20"/>
        <item x="18"/>
        <item x="14"/>
        <item x="13"/>
        <item x="12"/>
        <item x="9"/>
        <item x="10"/>
        <item x="11"/>
        <item x="6"/>
        <item x="7"/>
        <item x="1"/>
        <item x="0"/>
        <item x="5"/>
        <item x="3"/>
        <item x="2"/>
        <item x="4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2"/>
  </rowFields>
  <rowItems count="3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Nombre" fld="3" baseField="0" baseItem="0" numFmtId="3"/>
    <dataField name="  " fld="3" baseField="0" baseItem="2"/>
    <dataField name="PCT Total annuel" fld="3" baseField="0" baseItem="2" numFmtId="10">
      <extLst>
        <ext xmlns:x14="http://schemas.microsoft.com/office/spreadsheetml/2009/9/main" uri="{E15A36E0-9728-4e99-A89B-3F7291B0FE68}">
          <x14:dataField pivotShowAs="percentOfParent"/>
        </ext>
      </extLst>
    </dataField>
    <dataField name="Variation mois précédent" fld="3" showDataAs="percentDiff" baseField="2" baseItem="1048828" numFmtId="168"/>
  </dataFields>
  <formats count="7">
    <format dxfId="6">
      <pivotArea dataOnly="0" labelOnly="1" fieldPosition="0">
        <references count="1">
          <reference field="0" count="1">
            <x v="0"/>
          </reference>
        </references>
      </pivotArea>
    </format>
    <format dxfId="5">
      <pivotArea dataOnly="0" labelOnly="1" fieldPosition="0">
        <references count="1">
          <reference field="0" count="1">
            <x v="2"/>
          </reference>
        </references>
      </pivotArea>
    </format>
    <format dxfId="4">
      <pivotArea dataOnly="0" labelOnly="1" fieldPosition="0">
        <references count="1">
          <reference field="0" count="1">
            <x v="1"/>
          </reference>
        </references>
      </pivotArea>
    </format>
    <format dxfId="3">
      <pivotArea outline="0" fieldPosition="0">
        <references count="1">
          <reference field="4294967294" count="1">
            <x v="3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1"/>
          </reference>
          <reference field="0" count="1">
            <x v="0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1"/>
          </reference>
          <reference field="0" count="1">
            <x v="1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1"/>
          </reference>
          <reference field="0" count="1">
            <x v="2"/>
          </reference>
        </references>
      </pivotArea>
    </format>
  </formats>
  <conditionalFormats count="12">
    <conditionalFormat priority="12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0" count="1" selected="0">
              <x v="0"/>
            </reference>
            <reference field="2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11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0" count="1" selected="0">
              <x v="1"/>
            </reference>
            <reference field="2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0" count="1" selected="0">
              <x v="2"/>
            </reference>
            <reference field="2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0" count="1" selected="0">
              <x v="0"/>
            </reference>
            <reference field="2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0" count="1" selected="0">
              <x v="1"/>
            </reference>
            <reference field="2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0" count="1" selected="0">
              <x v="2"/>
            </reference>
            <reference field="2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0" count="1" selected="0">
              <x v="0"/>
            </reference>
            <reference field="2" count="9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0" count="1" selected="0">
              <x v="0"/>
            </reference>
            <reference field="2" count="9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0" count="1" selected="0">
              <x v="1"/>
            </reference>
            <reference field="2" count="9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0" count="1" selected="0">
              <x v="1"/>
            </reference>
            <reference field="2" count="9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0" count="1" selected="0">
              <x v="2"/>
            </reference>
            <reference field="2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0" count="1" selected="0">
              <x v="2"/>
            </reference>
            <reference field="2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GGU-EPFL">
  <a:themeElements>
    <a:clrScheme name="GGU-SISB-Viridis-Rocket">
      <a:dk1>
        <a:sysClr val="windowText" lastClr="000000"/>
      </a:dk1>
      <a:lt1>
        <a:sysClr val="window" lastClr="FFFFFF"/>
      </a:lt1>
      <a:dk2>
        <a:srgbClr val="1F1128"/>
      </a:dk2>
      <a:lt2>
        <a:srgbClr val="E8E8E8"/>
      </a:lt2>
      <a:accent1>
        <a:srgbClr val="40163D"/>
      </a:accent1>
      <a:accent2>
        <a:srgbClr val="6B1748"/>
      </a:accent2>
      <a:accent3>
        <a:srgbClr val="9D1A47"/>
      </a:accent3>
      <a:accent4>
        <a:srgbClr val="CA2B3B"/>
      </a:accent4>
      <a:accent5>
        <a:srgbClr val="E8845C"/>
      </a:accent5>
      <a:accent6>
        <a:srgbClr val="EDB490"/>
      </a:accent6>
      <a:hlink>
        <a:srgbClr val="E0533B"/>
      </a:hlink>
      <a:folHlink>
        <a:srgbClr val="911F6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253C-11C5-4493-9357-287321BBEF02}">
  <dimension ref="A1:U55"/>
  <sheetViews>
    <sheetView showGridLines="0" tabSelected="1" zoomScale="175" zoomScaleNormal="175" workbookViewId="0">
      <selection activeCell="J18" sqref="J18"/>
    </sheetView>
  </sheetViews>
  <sheetFormatPr baseColWidth="10" defaultRowHeight="12" x14ac:dyDescent="0.2"/>
  <cols>
    <col min="1" max="1" width="16.6640625" customWidth="1"/>
    <col min="3" max="3" width="47.1640625" customWidth="1"/>
    <col min="4" max="4" width="40.5" customWidth="1"/>
    <col min="20" max="20" width="16.33203125" customWidth="1"/>
    <col min="21" max="21" width="88.6640625" customWidth="1"/>
  </cols>
  <sheetData>
    <row r="1" spans="1:21" ht="13.5" x14ac:dyDescent="0.25">
      <c r="A1" s="50" t="s">
        <v>0</v>
      </c>
      <c r="B1" s="50" t="s">
        <v>58</v>
      </c>
      <c r="C1" s="50" t="s">
        <v>1</v>
      </c>
      <c r="D1" s="51" t="s">
        <v>2</v>
      </c>
      <c r="E1" s="52">
        <v>46053</v>
      </c>
      <c r="F1" s="52">
        <v>46081</v>
      </c>
      <c r="G1" s="52">
        <v>46112</v>
      </c>
      <c r="H1" s="52">
        <v>46142</v>
      </c>
      <c r="I1" s="52">
        <v>46173</v>
      </c>
      <c r="J1" s="52">
        <v>46203</v>
      </c>
      <c r="K1" s="52">
        <v>46234</v>
      </c>
      <c r="L1" s="52">
        <v>46265</v>
      </c>
      <c r="M1" s="52">
        <v>46295</v>
      </c>
      <c r="N1" s="52">
        <v>46326</v>
      </c>
      <c r="O1" s="52">
        <v>46356</v>
      </c>
      <c r="P1" s="52">
        <v>46387</v>
      </c>
    </row>
    <row r="2" spans="1:21" ht="54" x14ac:dyDescent="0.2">
      <c r="A2" s="45" t="s">
        <v>3</v>
      </c>
      <c r="B2" s="45" t="s">
        <v>59</v>
      </c>
      <c r="C2" s="7" t="s">
        <v>4</v>
      </c>
      <c r="D2" s="1" t="s">
        <v>34</v>
      </c>
      <c r="E2" s="46">
        <v>151902</v>
      </c>
      <c r="F2" s="46">
        <v>50727</v>
      </c>
      <c r="G2" s="46">
        <v>175830</v>
      </c>
      <c r="H2" s="46">
        <v>172017</v>
      </c>
      <c r="I2" s="46">
        <v>210289</v>
      </c>
      <c r="J2" s="46">
        <v>169129</v>
      </c>
      <c r="K2" s="46">
        <v>28845</v>
      </c>
      <c r="L2" s="46">
        <v>39741</v>
      </c>
      <c r="M2" s="46"/>
      <c r="N2" s="46"/>
      <c r="O2" s="46"/>
      <c r="P2" s="46"/>
      <c r="Q2" s="57"/>
    </row>
    <row r="3" spans="1:21" ht="54" x14ac:dyDescent="0.2">
      <c r="A3" s="47" t="s">
        <v>32</v>
      </c>
      <c r="B3" s="47" t="s">
        <v>60</v>
      </c>
      <c r="C3" s="7" t="s">
        <v>33</v>
      </c>
      <c r="D3" s="1" t="s">
        <v>35</v>
      </c>
      <c r="E3" s="48">
        <v>5252</v>
      </c>
      <c r="F3" s="48">
        <v>7084</v>
      </c>
      <c r="G3" s="48">
        <v>7262</v>
      </c>
      <c r="H3" s="48">
        <v>5243</v>
      </c>
      <c r="I3" s="48">
        <v>4215</v>
      </c>
      <c r="J3" s="48">
        <v>3141</v>
      </c>
      <c r="K3" s="48">
        <v>1639</v>
      </c>
      <c r="L3" s="49"/>
      <c r="M3" s="49"/>
      <c r="N3" s="49"/>
      <c r="O3" s="49"/>
      <c r="P3" s="49"/>
      <c r="Q3" s="57"/>
    </row>
    <row r="4" spans="1:21" ht="27" x14ac:dyDescent="0.2">
      <c r="A4" s="47" t="s">
        <v>29</v>
      </c>
      <c r="B4" s="47" t="s">
        <v>59</v>
      </c>
      <c r="C4" s="7" t="s">
        <v>30</v>
      </c>
      <c r="D4" s="1" t="s">
        <v>31</v>
      </c>
      <c r="E4" s="48">
        <v>1505</v>
      </c>
      <c r="F4" s="48">
        <v>1224</v>
      </c>
      <c r="G4" s="48">
        <v>1970</v>
      </c>
      <c r="H4" s="48">
        <v>1546</v>
      </c>
      <c r="I4" s="48">
        <v>1667</v>
      </c>
      <c r="J4" s="48">
        <v>1518</v>
      </c>
      <c r="K4" s="48">
        <v>825</v>
      </c>
      <c r="L4" s="48">
        <v>792</v>
      </c>
      <c r="M4" s="49"/>
      <c r="N4" s="49"/>
      <c r="O4" s="49"/>
      <c r="P4" s="49"/>
    </row>
    <row r="6" spans="1:21" x14ac:dyDescent="0.2">
      <c r="F6" s="53"/>
      <c r="G6" s="53"/>
      <c r="H6" s="53"/>
      <c r="I6" s="53"/>
      <c r="J6" s="53"/>
      <c r="K6" s="53"/>
    </row>
    <row r="7" spans="1:21" x14ac:dyDescent="0.2">
      <c r="F7" s="53"/>
      <c r="G7" s="53"/>
      <c r="H7" s="53"/>
      <c r="I7" s="53"/>
      <c r="J7" s="53"/>
      <c r="K7" s="53"/>
    </row>
    <row r="8" spans="1:21" ht="18.75" x14ac:dyDescent="0.3">
      <c r="C8" s="56" t="s">
        <v>69</v>
      </c>
      <c r="F8" s="53"/>
      <c r="G8" s="19" t="s">
        <v>61</v>
      </c>
      <c r="H8" s="19"/>
      <c r="I8" s="19"/>
      <c r="J8" s="53"/>
      <c r="K8" s="53"/>
      <c r="T8" s="56" t="s">
        <v>88</v>
      </c>
    </row>
    <row r="9" spans="1:21" s="54" customFormat="1" ht="15" x14ac:dyDescent="0.25">
      <c r="F9" s="58"/>
      <c r="G9" s="58"/>
      <c r="H9" s="58"/>
      <c r="I9" s="58"/>
      <c r="J9" s="58"/>
      <c r="K9" s="58"/>
      <c r="T9" s="55" t="s">
        <v>89</v>
      </c>
    </row>
    <row r="10" spans="1:21" s="54" customFormat="1" ht="13.5" x14ac:dyDescent="0.25">
      <c r="C10" s="76" t="s">
        <v>70</v>
      </c>
      <c r="D10" s="61"/>
      <c r="F10" s="58"/>
      <c r="G10" s="58" t="str">
        <f ca="1">IF(NOT(ISBLANK(D10)),_xlfn.FORMULATEXT(D10),"")</f>
        <v/>
      </c>
      <c r="H10" s="58"/>
      <c r="I10" s="58"/>
      <c r="J10" s="58"/>
      <c r="K10" s="58"/>
    </row>
    <row r="11" spans="1:21" s="54" customFormat="1" ht="13.5" x14ac:dyDescent="0.25">
      <c r="C11" s="76" t="s">
        <v>71</v>
      </c>
      <c r="D11" s="61"/>
      <c r="F11" s="58"/>
      <c r="G11" s="58" t="str">
        <f ca="1">IF(NOT(ISBLANK(D11)),_xlfn.FORMULATEXT(D11),"")</f>
        <v/>
      </c>
      <c r="H11" s="58"/>
      <c r="I11" s="58"/>
      <c r="J11" s="58"/>
      <c r="K11" s="58"/>
      <c r="T11" s="75" t="s">
        <v>92</v>
      </c>
      <c r="U11" s="54" t="s">
        <v>96</v>
      </c>
    </row>
    <row r="12" spans="1:21" s="54" customFormat="1" ht="13.5" x14ac:dyDescent="0.25">
      <c r="F12" s="58"/>
      <c r="G12" s="58"/>
      <c r="H12" s="58"/>
      <c r="I12" s="58"/>
      <c r="J12" s="58"/>
      <c r="K12" s="58"/>
      <c r="U12" s="54" t="s">
        <v>97</v>
      </c>
    </row>
    <row r="13" spans="1:21" s="54" customFormat="1" ht="13.5" x14ac:dyDescent="0.25">
      <c r="F13" s="59"/>
      <c r="G13" s="58"/>
      <c r="H13" s="58"/>
      <c r="I13" s="58"/>
      <c r="J13" s="58"/>
      <c r="K13" s="58"/>
      <c r="U13" s="54" t="s">
        <v>98</v>
      </c>
    </row>
    <row r="14" spans="1:21" s="54" customFormat="1" ht="13.5" x14ac:dyDescent="0.25">
      <c r="C14" s="60" t="s">
        <v>37</v>
      </c>
      <c r="D14" s="61"/>
      <c r="F14" s="62"/>
      <c r="G14" s="58" t="str">
        <f ca="1">IF(NOT(ISBLANK(D14)),_xlfn.FORMULATEXT(D14),"")</f>
        <v/>
      </c>
      <c r="H14" s="58"/>
      <c r="I14" s="58"/>
      <c r="J14" s="58"/>
      <c r="K14" s="58"/>
      <c r="U14" s="54" t="s">
        <v>99</v>
      </c>
    </row>
    <row r="15" spans="1:21" s="54" customFormat="1" ht="13.5" x14ac:dyDescent="0.25">
      <c r="C15" s="60" t="s">
        <v>38</v>
      </c>
      <c r="D15" s="61"/>
      <c r="F15" s="62"/>
      <c r="G15" s="58" t="str">
        <f ca="1">IF(NOT(ISBLANK(D15)),_xlfn.FORMULATEXT(D15),"")</f>
        <v/>
      </c>
      <c r="H15" s="58"/>
      <c r="I15" s="58"/>
      <c r="J15" s="58"/>
      <c r="K15" s="58"/>
    </row>
    <row r="16" spans="1:21" s="54" customFormat="1" ht="13.5" x14ac:dyDescent="0.25">
      <c r="C16" s="63"/>
      <c r="D16" s="64"/>
      <c r="F16" s="62"/>
      <c r="G16" s="58"/>
      <c r="H16" s="58"/>
      <c r="I16" s="58"/>
      <c r="J16" s="58"/>
      <c r="K16" s="58"/>
    </row>
    <row r="17" spans="3:21" s="54" customFormat="1" ht="18.75" x14ac:dyDescent="0.3">
      <c r="C17" s="60" t="s">
        <v>47</v>
      </c>
      <c r="D17" s="65"/>
      <c r="F17" s="66"/>
      <c r="G17" s="58" t="str">
        <f ca="1">IF(NOT(ISBLANK(D17)),_xlfn.FORMULATEXT(D17),"")</f>
        <v/>
      </c>
      <c r="T17" s="123" t="s">
        <v>90</v>
      </c>
    </row>
    <row r="18" spans="3:21" s="54" customFormat="1" ht="13.5" x14ac:dyDescent="0.25">
      <c r="C18" s="63"/>
      <c r="D18" s="64"/>
      <c r="F18" s="66"/>
    </row>
    <row r="19" spans="3:21" s="54" customFormat="1" ht="13.5" x14ac:dyDescent="0.25">
      <c r="C19" s="63"/>
      <c r="D19" s="64"/>
      <c r="F19" s="66"/>
      <c r="T19" s="75" t="s">
        <v>93</v>
      </c>
      <c r="U19" s="54" t="s">
        <v>91</v>
      </c>
    </row>
    <row r="20" spans="3:21" s="54" customFormat="1" ht="13.5" x14ac:dyDescent="0.25">
      <c r="C20" s="64" t="s">
        <v>39</v>
      </c>
      <c r="D20" s="64"/>
      <c r="F20" s="66"/>
      <c r="U20" s="54" t="s">
        <v>94</v>
      </c>
    </row>
    <row r="21" spans="3:21" s="54" customFormat="1" ht="13.5" x14ac:dyDescent="0.25">
      <c r="C21" s="67" t="s">
        <v>40</v>
      </c>
      <c r="D21" s="68"/>
      <c r="F21" s="66"/>
      <c r="G21" s="58" t="str">
        <f ca="1">IF(NOT(ISBLANK(D21)),_xlfn.FORMULATEXT(D21),"")</f>
        <v/>
      </c>
    </row>
    <row r="22" spans="3:21" s="54" customFormat="1" ht="13.5" x14ac:dyDescent="0.25">
      <c r="C22" s="67" t="s">
        <v>41</v>
      </c>
      <c r="D22" s="68"/>
      <c r="F22" s="66"/>
      <c r="G22" s="58" t="str">
        <f ca="1">IF(NOT(ISBLANK(D22)),_xlfn.FORMULATEXT(D22),"")</f>
        <v/>
      </c>
      <c r="T22" s="75" t="s">
        <v>92</v>
      </c>
      <c r="U22" s="54" t="s">
        <v>95</v>
      </c>
    </row>
    <row r="23" spans="3:21" s="54" customFormat="1" ht="13.5" x14ac:dyDescent="0.25">
      <c r="C23" s="67" t="s">
        <v>48</v>
      </c>
      <c r="D23" s="68"/>
      <c r="F23" s="66"/>
      <c r="G23" s="58" t="str">
        <f ca="1">IF(NOT(ISBLANK(D23)),_xlfn.FORMULATEXT(D23),"")</f>
        <v/>
      </c>
    </row>
    <row r="24" spans="3:21" s="54" customFormat="1" ht="13.5" x14ac:dyDescent="0.25">
      <c r="C24" s="63"/>
      <c r="D24" s="69"/>
      <c r="F24" s="66"/>
    </row>
    <row r="25" spans="3:21" s="54" customFormat="1" ht="13.5" x14ac:dyDescent="0.25">
      <c r="C25" s="64" t="s">
        <v>49</v>
      </c>
      <c r="D25" s="69"/>
      <c r="F25" s="66"/>
    </row>
    <row r="26" spans="3:21" s="54" customFormat="1" ht="13.5" x14ac:dyDescent="0.25">
      <c r="C26" s="67" t="s">
        <v>40</v>
      </c>
      <c r="D26" s="68"/>
      <c r="F26" s="66"/>
      <c r="G26" s="58" t="str">
        <f ca="1">IF(NOT(ISBLANK(D26)),_xlfn.FORMULATEXT(D26),"")</f>
        <v/>
      </c>
    </row>
    <row r="27" spans="3:21" s="54" customFormat="1" ht="13.5" x14ac:dyDescent="0.25">
      <c r="C27" s="67" t="s">
        <v>41</v>
      </c>
      <c r="D27" s="68"/>
      <c r="F27" s="66"/>
      <c r="G27" s="58" t="str">
        <f ca="1">IF(NOT(ISBLANK(D27)),_xlfn.FORMULATEXT(D27),"")</f>
        <v/>
      </c>
    </row>
    <row r="28" spans="3:21" s="54" customFormat="1" ht="13.5" x14ac:dyDescent="0.25">
      <c r="C28" s="67" t="s">
        <v>48</v>
      </c>
      <c r="D28" s="68"/>
      <c r="F28" s="66"/>
      <c r="G28" s="58" t="str">
        <f ca="1">IF(NOT(ISBLANK(D28)),_xlfn.FORMULATEXT(D28),"")</f>
        <v/>
      </c>
    </row>
    <row r="29" spans="3:21" s="54" customFormat="1" ht="13.5" x14ac:dyDescent="0.25">
      <c r="C29" s="63"/>
      <c r="D29" s="69"/>
      <c r="F29" s="66"/>
    </row>
    <row r="30" spans="3:21" s="54" customFormat="1" ht="13.5" x14ac:dyDescent="0.25">
      <c r="C30" s="64" t="s">
        <v>42</v>
      </c>
      <c r="D30" s="69"/>
      <c r="F30" s="66"/>
    </row>
    <row r="31" spans="3:21" s="54" customFormat="1" ht="13.5" x14ac:dyDescent="0.25">
      <c r="C31" s="67" t="s">
        <v>40</v>
      </c>
      <c r="D31" s="68"/>
      <c r="F31" s="66"/>
      <c r="G31" s="58" t="str">
        <f ca="1">IF(NOT(ISBLANK(D31)),_xlfn.FORMULATEXT(D31),"")</f>
        <v/>
      </c>
    </row>
    <row r="32" spans="3:21" s="54" customFormat="1" ht="13.5" x14ac:dyDescent="0.25">
      <c r="C32" s="67" t="s">
        <v>41</v>
      </c>
      <c r="D32" s="68"/>
      <c r="F32" s="66"/>
      <c r="G32" s="58" t="str">
        <f ca="1">IF(NOT(ISBLANK(D32)),_xlfn.FORMULATEXT(D32),"")</f>
        <v/>
      </c>
    </row>
    <row r="33" spans="3:7" s="54" customFormat="1" ht="13.5" x14ac:dyDescent="0.25">
      <c r="C33" s="67" t="s">
        <v>48</v>
      </c>
      <c r="D33" s="68"/>
      <c r="F33" s="66"/>
      <c r="G33" s="58" t="str">
        <f ca="1">IF(NOT(ISBLANK(D33)),_xlfn.FORMULATEXT(D33),"")</f>
        <v/>
      </c>
    </row>
    <row r="34" spans="3:7" s="54" customFormat="1" ht="13.5" x14ac:dyDescent="0.25">
      <c r="C34" s="63"/>
      <c r="D34" s="69"/>
      <c r="F34" s="66"/>
    </row>
    <row r="35" spans="3:7" s="54" customFormat="1" ht="13.5" x14ac:dyDescent="0.25">
      <c r="C35" s="64" t="s">
        <v>43</v>
      </c>
      <c r="D35" s="69"/>
      <c r="F35" s="66"/>
    </row>
    <row r="36" spans="3:7" s="54" customFormat="1" ht="13.5" x14ac:dyDescent="0.25">
      <c r="C36" s="70" t="s">
        <v>51</v>
      </c>
      <c r="D36" s="71"/>
      <c r="F36" s="66"/>
      <c r="G36" s="58" t="str">
        <f ca="1">IF(NOT(ISBLANK(D36)),_xlfn.FORMULATEXT(D36),"")</f>
        <v/>
      </c>
    </row>
    <row r="37" spans="3:7" s="54" customFormat="1" ht="13.5" x14ac:dyDescent="0.25">
      <c r="C37" s="67" t="s">
        <v>50</v>
      </c>
      <c r="D37" s="72"/>
      <c r="F37" s="66"/>
      <c r="G37" s="58" t="str">
        <f ca="1">IF(NOT(ISBLANK(D37)),_xlfn.FORMULATEXT(D37),"")</f>
        <v/>
      </c>
    </row>
    <row r="38" spans="3:7" s="54" customFormat="1" ht="13.5" x14ac:dyDescent="0.25">
      <c r="C38" s="63"/>
      <c r="D38" s="69"/>
      <c r="F38" s="66"/>
    </row>
    <row r="39" spans="3:7" s="54" customFormat="1" ht="13.5" x14ac:dyDescent="0.25">
      <c r="C39" s="67" t="s">
        <v>52</v>
      </c>
      <c r="D39" s="68"/>
      <c r="F39" s="66"/>
      <c r="G39" s="58" t="str">
        <f ca="1">IF(NOT(ISBLANK(D39)),_xlfn.FORMULATEXT(D39),"")</f>
        <v/>
      </c>
    </row>
    <row r="40" spans="3:7" s="54" customFormat="1" ht="13.5" x14ac:dyDescent="0.25">
      <c r="C40" s="73" t="s">
        <v>53</v>
      </c>
      <c r="D40" s="72"/>
      <c r="F40" s="66"/>
      <c r="G40" s="58" t="str">
        <f ca="1">IF(NOT(ISBLANK(D40)),_xlfn.FORMULATEXT(D40),"")</f>
        <v/>
      </c>
    </row>
    <row r="41" spans="3:7" s="54" customFormat="1" ht="13.5" x14ac:dyDescent="0.25">
      <c r="C41" s="63"/>
      <c r="D41" s="74"/>
      <c r="F41" s="66"/>
    </row>
    <row r="42" spans="3:7" s="54" customFormat="1" ht="13.5" x14ac:dyDescent="0.25">
      <c r="C42" s="67" t="s">
        <v>55</v>
      </c>
      <c r="D42" s="68"/>
      <c r="F42" s="66"/>
      <c r="G42" s="58" t="str">
        <f ca="1">IF(NOT(ISBLANK(D42)),_xlfn.FORMULATEXT(D42),"")</f>
        <v/>
      </c>
    </row>
    <row r="43" spans="3:7" s="54" customFormat="1" ht="13.5" x14ac:dyDescent="0.25">
      <c r="C43" s="73" t="s">
        <v>54</v>
      </c>
      <c r="D43" s="72"/>
      <c r="F43" s="66"/>
      <c r="G43" s="58" t="str">
        <f ca="1">IF(NOT(ISBLANK(D43)),_xlfn.FORMULATEXT(D43),"")</f>
        <v/>
      </c>
    </row>
    <row r="44" spans="3:7" s="54" customFormat="1" ht="13.5" x14ac:dyDescent="0.25">
      <c r="C44" s="63"/>
      <c r="D44" s="74"/>
      <c r="F44" s="66"/>
    </row>
    <row r="45" spans="3:7" s="54" customFormat="1" ht="11.25" customHeight="1" x14ac:dyDescent="0.25">
      <c r="C45" s="63"/>
      <c r="D45" s="69"/>
      <c r="F45" s="66"/>
    </row>
    <row r="46" spans="3:7" s="54" customFormat="1" ht="13.5" x14ac:dyDescent="0.25">
      <c r="C46" s="64" t="s">
        <v>44</v>
      </c>
      <c r="D46" s="69"/>
      <c r="F46" s="66"/>
    </row>
    <row r="47" spans="3:7" s="54" customFormat="1" ht="13.5" x14ac:dyDescent="0.25">
      <c r="C47" s="67" t="s">
        <v>45</v>
      </c>
      <c r="D47" s="68"/>
      <c r="F47" s="66"/>
      <c r="G47" s="58" t="str">
        <f ca="1">IF(NOT(ISBLANK(D47)),_xlfn.FORMULATEXT(D47),"")</f>
        <v/>
      </c>
    </row>
    <row r="48" spans="3:7" s="54" customFormat="1" ht="13.5" x14ac:dyDescent="0.25">
      <c r="C48" s="67" t="s">
        <v>62</v>
      </c>
      <c r="D48" s="72"/>
      <c r="F48" s="66"/>
      <c r="G48" s="58" t="str">
        <f ca="1">IF(NOT(ISBLANK(D48)),_xlfn.FORMULATEXT(D48),"")</f>
        <v/>
      </c>
    </row>
    <row r="49" spans="3:7" s="54" customFormat="1" ht="13.5" x14ac:dyDescent="0.25">
      <c r="C49" s="63"/>
      <c r="D49" s="69"/>
      <c r="F49" s="66"/>
    </row>
    <row r="50" spans="3:7" s="54" customFormat="1" ht="13.5" x14ac:dyDescent="0.25">
      <c r="C50" s="67" t="s">
        <v>46</v>
      </c>
      <c r="D50" s="68"/>
      <c r="F50" s="66"/>
      <c r="G50" s="58" t="str">
        <f ca="1">IF(NOT(ISBLANK(D50)),_xlfn.FORMULATEXT(D50),"")</f>
        <v/>
      </c>
    </row>
    <row r="51" spans="3:7" s="54" customFormat="1" ht="13.5" x14ac:dyDescent="0.25">
      <c r="C51" s="67" t="s">
        <v>63</v>
      </c>
      <c r="D51" s="72"/>
      <c r="F51" s="66"/>
      <c r="G51" s="58" t="str">
        <f ca="1">IF(NOT(ISBLANK(D51)),_xlfn.FORMULATEXT(D51),"")</f>
        <v/>
      </c>
    </row>
    <row r="52" spans="3:7" s="54" customFormat="1" ht="13.5" x14ac:dyDescent="0.25">
      <c r="D52" s="69"/>
      <c r="F52" s="66"/>
    </row>
    <row r="53" spans="3:7" s="54" customFormat="1" ht="13.5" x14ac:dyDescent="0.25">
      <c r="C53" s="67" t="s">
        <v>56</v>
      </c>
      <c r="D53" s="68"/>
      <c r="F53" s="66"/>
      <c r="G53" s="58" t="str">
        <f ca="1">IF(NOT(ISBLANK(D53)),_xlfn.FORMULATEXT(D53),"")</f>
        <v/>
      </c>
    </row>
    <row r="54" spans="3:7" s="54" customFormat="1" ht="13.5" x14ac:dyDescent="0.25">
      <c r="C54" s="73" t="s">
        <v>57</v>
      </c>
      <c r="D54" s="72"/>
      <c r="F54" s="66"/>
      <c r="G54" s="58" t="str">
        <f ca="1">IF(NOT(ISBLANK(D54)),_xlfn.FORMULATEXT(D54),"")</f>
        <v/>
      </c>
    </row>
    <row r="55" spans="3:7" s="54" customFormat="1" ht="13.5" x14ac:dyDescent="0.25"/>
  </sheetData>
  <dataValidations disablePrompts="1" count="1">
    <dataValidation errorStyle="information" operator="greaterThan" showErrorMessage="1" errorTitle="Message SISB" error="Veuillez entrer un nombre positif entier" promptTitle="Message SISB" prompt="veuillez entrer un nombre entier" sqref="E4:L4 E2:P3" xr:uid="{A2B7FEED-18F0-4152-A24C-CA0BC5A6B90E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0B4EA-2107-4D20-9D8D-481D26BD316F}">
  <dimension ref="A1:P4"/>
  <sheetViews>
    <sheetView workbookViewId="0">
      <selection activeCell="A7" sqref="A7:XFD49"/>
    </sheetView>
  </sheetViews>
  <sheetFormatPr baseColWidth="10" defaultRowHeight="12" x14ac:dyDescent="0.2"/>
  <cols>
    <col min="3" max="3" width="38.33203125" customWidth="1"/>
    <col min="4" max="4" width="40.5" customWidth="1"/>
  </cols>
  <sheetData>
    <row r="1" spans="1:16" ht="27" x14ac:dyDescent="0.25">
      <c r="A1" s="2" t="s">
        <v>0</v>
      </c>
      <c r="B1" s="50" t="s">
        <v>58</v>
      </c>
      <c r="C1" s="2" t="s">
        <v>1</v>
      </c>
      <c r="D1" s="3" t="s">
        <v>2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</row>
    <row r="2" spans="1:16" ht="54" x14ac:dyDescent="0.2">
      <c r="A2" s="6" t="s">
        <v>3</v>
      </c>
      <c r="B2" s="45" t="s">
        <v>59</v>
      </c>
      <c r="C2" s="7" t="s">
        <v>4</v>
      </c>
      <c r="D2" s="1" t="s">
        <v>34</v>
      </c>
      <c r="E2" s="8">
        <v>148031</v>
      </c>
      <c r="F2" s="8">
        <v>57373</v>
      </c>
      <c r="G2" s="8">
        <v>134426</v>
      </c>
      <c r="H2" s="8">
        <v>107901</v>
      </c>
      <c r="I2" s="8">
        <v>173573</v>
      </c>
      <c r="J2" s="8">
        <v>148336</v>
      </c>
      <c r="K2" s="8">
        <v>30661</v>
      </c>
      <c r="L2" s="8">
        <v>53610</v>
      </c>
      <c r="M2" s="8">
        <v>101592</v>
      </c>
      <c r="N2" s="8">
        <v>153372</v>
      </c>
      <c r="O2" s="8">
        <v>164814</v>
      </c>
      <c r="P2" s="8">
        <v>148897</v>
      </c>
    </row>
    <row r="3" spans="1:16" ht="40.5" x14ac:dyDescent="0.2">
      <c r="A3" s="9" t="s">
        <v>29</v>
      </c>
      <c r="B3" s="47" t="s">
        <v>60</v>
      </c>
      <c r="C3" s="10" t="s">
        <v>30</v>
      </c>
      <c r="D3" s="11" t="s">
        <v>31</v>
      </c>
      <c r="E3" s="12">
        <v>1121</v>
      </c>
      <c r="F3" s="12">
        <v>1082</v>
      </c>
      <c r="G3" s="12">
        <v>1417</v>
      </c>
      <c r="H3" s="12">
        <v>1287</v>
      </c>
      <c r="I3" s="12">
        <v>1409</v>
      </c>
      <c r="J3" s="12">
        <v>1154</v>
      </c>
      <c r="K3" s="12">
        <v>580</v>
      </c>
      <c r="L3" s="12">
        <v>541</v>
      </c>
      <c r="M3" s="12">
        <v>1994</v>
      </c>
      <c r="N3" s="12">
        <v>2038</v>
      </c>
      <c r="O3" s="12">
        <v>1934</v>
      </c>
      <c r="P3" s="12">
        <v>1593</v>
      </c>
    </row>
    <row r="4" spans="1:16" ht="54" x14ac:dyDescent="0.2">
      <c r="A4" s="9" t="s">
        <v>32</v>
      </c>
      <c r="B4" s="47" t="s">
        <v>59</v>
      </c>
      <c r="C4" s="10" t="s">
        <v>33</v>
      </c>
      <c r="D4" s="1" t="s">
        <v>35</v>
      </c>
      <c r="E4" s="12">
        <v>4946</v>
      </c>
      <c r="F4" s="12">
        <v>8369</v>
      </c>
      <c r="G4" s="12">
        <v>8414</v>
      </c>
      <c r="H4" s="12">
        <v>6173</v>
      </c>
      <c r="I4" s="12">
        <v>5662</v>
      </c>
      <c r="J4" s="12">
        <v>3943</v>
      </c>
      <c r="K4" s="12">
        <v>4367</v>
      </c>
      <c r="L4" s="12">
        <v>3866</v>
      </c>
      <c r="M4" s="12">
        <v>10765</v>
      </c>
      <c r="N4" s="12">
        <v>8073</v>
      </c>
      <c r="O4" s="12">
        <v>5748</v>
      </c>
      <c r="P4" s="12">
        <v>3919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E2:P4" xr:uid="{1F8B4CAB-1D24-4EAF-B6C0-C3884013A711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1882-7C47-4421-9126-219295E45FCE}">
  <dimension ref="A1:P4"/>
  <sheetViews>
    <sheetView workbookViewId="0">
      <selection activeCell="A7" sqref="A7:XFD48"/>
    </sheetView>
  </sheetViews>
  <sheetFormatPr baseColWidth="10" defaultRowHeight="12" x14ac:dyDescent="0.2"/>
  <cols>
    <col min="3" max="3" width="28.33203125" customWidth="1"/>
    <col min="4" max="4" width="44.6640625" customWidth="1"/>
  </cols>
  <sheetData>
    <row r="1" spans="1:16" ht="27" x14ac:dyDescent="0.25">
      <c r="A1" s="2" t="s">
        <v>0</v>
      </c>
      <c r="B1" s="50" t="s">
        <v>58</v>
      </c>
      <c r="C1" s="2" t="s">
        <v>1</v>
      </c>
      <c r="D1" s="3" t="s">
        <v>2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</row>
    <row r="2" spans="1:16" ht="40.5" x14ac:dyDescent="0.2">
      <c r="A2" s="6" t="s">
        <v>3</v>
      </c>
      <c r="B2" s="45" t="s">
        <v>59</v>
      </c>
      <c r="C2" s="7" t="s">
        <v>4</v>
      </c>
      <c r="D2" s="1" t="s">
        <v>34</v>
      </c>
      <c r="E2" s="8">
        <v>154483</v>
      </c>
      <c r="F2" s="8">
        <v>54995</v>
      </c>
      <c r="G2" s="8">
        <v>121504</v>
      </c>
      <c r="H2" s="8">
        <v>141282</v>
      </c>
      <c r="I2" s="8">
        <v>166846</v>
      </c>
      <c r="J2" s="8">
        <v>142138</v>
      </c>
      <c r="K2" s="8">
        <v>34149</v>
      </c>
      <c r="L2" s="8">
        <v>42282</v>
      </c>
      <c r="M2" s="8">
        <v>102435</v>
      </c>
      <c r="N2" s="8">
        <v>152519</v>
      </c>
      <c r="O2" s="8">
        <v>162715</v>
      </c>
      <c r="P2" s="8">
        <v>146319</v>
      </c>
    </row>
    <row r="3" spans="1:16" ht="40.5" x14ac:dyDescent="0.2">
      <c r="A3" s="9" t="s">
        <v>29</v>
      </c>
      <c r="B3" s="47" t="s">
        <v>60</v>
      </c>
      <c r="C3" s="10" t="s">
        <v>30</v>
      </c>
      <c r="D3" s="11" t="s">
        <v>31</v>
      </c>
      <c r="E3" s="12">
        <v>1308</v>
      </c>
      <c r="F3" s="12">
        <v>1140</v>
      </c>
      <c r="G3" s="12">
        <v>1242</v>
      </c>
      <c r="H3" s="12">
        <v>1386</v>
      </c>
      <c r="I3" s="12">
        <v>1259</v>
      </c>
      <c r="J3" s="12">
        <v>1119</v>
      </c>
      <c r="K3" s="12">
        <v>667</v>
      </c>
      <c r="L3" s="12">
        <v>562</v>
      </c>
      <c r="M3" s="12">
        <v>1479</v>
      </c>
      <c r="N3" s="12">
        <v>1723</v>
      </c>
      <c r="O3" s="12">
        <v>1622</v>
      </c>
      <c r="P3" s="12">
        <v>1141</v>
      </c>
    </row>
    <row r="4" spans="1:16" ht="67.5" x14ac:dyDescent="0.2">
      <c r="A4" s="9" t="s">
        <v>32</v>
      </c>
      <c r="B4" s="47" t="s">
        <v>59</v>
      </c>
      <c r="C4" s="10" t="s">
        <v>33</v>
      </c>
      <c r="D4" s="11" t="s">
        <v>36</v>
      </c>
      <c r="E4" s="12">
        <v>7141</v>
      </c>
      <c r="F4" s="12">
        <v>10092</v>
      </c>
      <c r="G4" s="12">
        <v>9614</v>
      </c>
      <c r="H4" s="12">
        <v>8486</v>
      </c>
      <c r="I4" s="12">
        <v>7189</v>
      </c>
      <c r="J4" s="12">
        <v>5842</v>
      </c>
      <c r="K4" s="12">
        <v>5050</v>
      </c>
      <c r="L4" s="12">
        <v>4021</v>
      </c>
      <c r="M4" s="12">
        <v>11078</v>
      </c>
      <c r="N4" s="12">
        <v>9763</v>
      </c>
      <c r="O4" s="12">
        <v>7972</v>
      </c>
      <c r="P4" s="12">
        <v>5172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E2:P4" xr:uid="{B9CC19CD-DC64-4957-BC23-69BADB64F915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73E84-A633-40F9-B548-1B88D8B25EBE}">
  <sheetPr>
    <tabColor theme="6"/>
  </sheetPr>
  <dimension ref="A1"/>
  <sheetViews>
    <sheetView workbookViewId="0">
      <selection activeCell="M52" sqref="M52"/>
    </sheetView>
  </sheetViews>
  <sheetFormatPr baseColWidth="10" defaultRowHeight="12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452E2-B075-4615-A5D3-1A16C93DD18E}">
  <sheetPr>
    <tabColor theme="6" tint="0.59999389629810485"/>
  </sheetPr>
  <dimension ref="A1:P53"/>
  <sheetViews>
    <sheetView showGridLines="0" zoomScaleNormal="100" workbookViewId="0">
      <selection activeCell="F8" sqref="F8"/>
    </sheetView>
  </sheetViews>
  <sheetFormatPr baseColWidth="10" defaultRowHeight="12" x14ac:dyDescent="0.2"/>
  <cols>
    <col min="1" max="1" width="16.6640625" customWidth="1"/>
    <col min="3" max="3" width="47.33203125" customWidth="1"/>
    <col min="4" max="4" width="40.5" customWidth="1"/>
  </cols>
  <sheetData>
    <row r="1" spans="1:16" ht="13.5" x14ac:dyDescent="0.25">
      <c r="A1" s="50" t="s">
        <v>0</v>
      </c>
      <c r="B1" s="50" t="s">
        <v>58</v>
      </c>
      <c r="C1" s="50" t="s">
        <v>1</v>
      </c>
      <c r="D1" s="51" t="s">
        <v>2</v>
      </c>
      <c r="E1" s="52">
        <v>46053</v>
      </c>
      <c r="F1" s="52">
        <v>46081</v>
      </c>
      <c r="G1" s="52">
        <v>46112</v>
      </c>
      <c r="H1" s="52">
        <v>46142</v>
      </c>
      <c r="I1" s="52">
        <v>46173</v>
      </c>
      <c r="J1" s="52">
        <v>46203</v>
      </c>
      <c r="K1" s="52">
        <v>46234</v>
      </c>
      <c r="L1" s="52">
        <v>46265</v>
      </c>
      <c r="M1" s="52">
        <v>46295</v>
      </c>
      <c r="N1" s="52">
        <v>46326</v>
      </c>
      <c r="O1" s="52">
        <v>46356</v>
      </c>
      <c r="P1" s="52">
        <v>46387</v>
      </c>
    </row>
    <row r="2" spans="1:16" ht="54" x14ac:dyDescent="0.2">
      <c r="A2" s="45" t="s">
        <v>3</v>
      </c>
      <c r="B2" s="45" t="s">
        <v>59</v>
      </c>
      <c r="C2" s="7" t="s">
        <v>4</v>
      </c>
      <c r="D2" s="1" t="s">
        <v>34</v>
      </c>
      <c r="E2" s="46">
        <v>151902</v>
      </c>
      <c r="F2" s="46">
        <v>50727</v>
      </c>
      <c r="G2" s="46">
        <v>175830</v>
      </c>
      <c r="H2" s="46">
        <v>172017</v>
      </c>
      <c r="I2" s="46">
        <v>210289</v>
      </c>
      <c r="J2" s="46">
        <v>169129</v>
      </c>
      <c r="K2" s="46">
        <v>28845</v>
      </c>
      <c r="L2" s="46">
        <v>39741</v>
      </c>
      <c r="M2" s="46"/>
      <c r="N2" s="46"/>
      <c r="O2" s="46"/>
      <c r="P2" s="46"/>
    </row>
    <row r="3" spans="1:16" ht="54" x14ac:dyDescent="0.2">
      <c r="A3" s="47" t="s">
        <v>32</v>
      </c>
      <c r="B3" s="47" t="s">
        <v>60</v>
      </c>
      <c r="C3" s="7" t="s">
        <v>33</v>
      </c>
      <c r="D3" s="1" t="s">
        <v>35</v>
      </c>
      <c r="E3" s="48">
        <v>5252</v>
      </c>
      <c r="F3" s="48">
        <v>7084</v>
      </c>
      <c r="G3" s="48">
        <v>7262</v>
      </c>
      <c r="H3" s="48">
        <v>5243</v>
      </c>
      <c r="I3" s="48">
        <v>4215</v>
      </c>
      <c r="J3" s="48">
        <v>3141</v>
      </c>
      <c r="K3" s="48">
        <v>1639</v>
      </c>
      <c r="L3" s="49"/>
      <c r="M3" s="49"/>
      <c r="N3" s="49"/>
      <c r="O3" s="49"/>
      <c r="P3" s="49"/>
    </row>
    <row r="4" spans="1:16" ht="27" x14ac:dyDescent="0.2">
      <c r="A4" s="47" t="s">
        <v>29</v>
      </c>
      <c r="B4" s="47" t="s">
        <v>59</v>
      </c>
      <c r="C4" s="7" t="s">
        <v>30</v>
      </c>
      <c r="D4" s="1" t="s">
        <v>31</v>
      </c>
      <c r="E4" s="48">
        <v>1505</v>
      </c>
      <c r="F4" s="48">
        <v>1224</v>
      </c>
      <c r="G4" s="48">
        <v>1970</v>
      </c>
      <c r="H4" s="48">
        <v>1546</v>
      </c>
      <c r="I4" s="48">
        <v>1667</v>
      </c>
      <c r="J4" s="48">
        <v>1518</v>
      </c>
      <c r="K4" s="48">
        <v>825</v>
      </c>
      <c r="L4" s="48">
        <v>792</v>
      </c>
      <c r="M4" s="49"/>
      <c r="N4" s="49"/>
      <c r="O4" s="49"/>
      <c r="P4" s="49"/>
    </row>
    <row r="8" spans="1:16" ht="18.75" x14ac:dyDescent="0.3">
      <c r="C8" s="56" t="s">
        <v>69</v>
      </c>
      <c r="F8" s="19" t="s">
        <v>61</v>
      </c>
      <c r="G8" s="14"/>
      <c r="H8" s="14"/>
      <c r="I8" s="14"/>
    </row>
    <row r="9" spans="1:16" ht="13.5" x14ac:dyDescent="0.25">
      <c r="C9" s="54"/>
      <c r="D9" s="54"/>
    </row>
    <row r="10" spans="1:16" ht="13.5" x14ac:dyDescent="0.25">
      <c r="C10" s="76" t="s">
        <v>70</v>
      </c>
      <c r="D10" s="77">
        <f>COUNTIF(B2:B4,"ASAP")</f>
        <v>2</v>
      </c>
      <c r="F10" s="20" t="str">
        <f ca="1">_xlfn.FORMULATEXT(D10)</f>
        <v>=NB.SI(B2:B4;"ASAP")</v>
      </c>
    </row>
    <row r="11" spans="1:16" ht="13.5" x14ac:dyDescent="0.25">
      <c r="C11" s="76" t="s">
        <v>71</v>
      </c>
      <c r="D11" s="77">
        <f>COUNTIF(B2:B4,"FDOC")</f>
        <v>1</v>
      </c>
      <c r="F11" s="20" t="str">
        <f ca="1">_xlfn.FORMULATEXT(D11)</f>
        <v>=NB.SI(B2:B4;"FDOC")</v>
      </c>
    </row>
    <row r="12" spans="1:16" ht="13.5" x14ac:dyDescent="0.25">
      <c r="C12" s="54"/>
      <c r="D12" s="54"/>
    </row>
    <row r="13" spans="1:16" ht="13.5" x14ac:dyDescent="0.25">
      <c r="C13" s="60" t="s">
        <v>72</v>
      </c>
      <c r="D13" s="61">
        <f>MIN(E1:P1)</f>
        <v>46053</v>
      </c>
      <c r="F13" s="20" t="str">
        <f ca="1">_xlfn.FORMULATEXT(D13)</f>
        <v>=MIN(E1:P1)</v>
      </c>
    </row>
    <row r="14" spans="1:16" ht="13.5" x14ac:dyDescent="0.25">
      <c r="C14" s="60" t="s">
        <v>73</v>
      </c>
      <c r="D14" s="61">
        <f>MAX(E1:P1)</f>
        <v>46387</v>
      </c>
      <c r="F14" s="20" t="str">
        <f t="shared" ref="F14:F53" ca="1" si="0">_xlfn.FORMULATEXT(D14)</f>
        <v>=MAX(E1:P1)</v>
      </c>
    </row>
    <row r="15" spans="1:16" ht="13.5" x14ac:dyDescent="0.25">
      <c r="C15" s="63"/>
      <c r="D15" s="64"/>
      <c r="F15" s="20"/>
    </row>
    <row r="16" spans="1:16" ht="13.5" x14ac:dyDescent="0.25">
      <c r="C16" s="60" t="s">
        <v>47</v>
      </c>
      <c r="D16" s="65">
        <f>COUNT(E1:P1)</f>
        <v>12</v>
      </c>
      <c r="F16" s="20" t="str">
        <f t="shared" ca="1" si="0"/>
        <v>=NB(E1:P1)</v>
      </c>
      <c r="G16" s="15"/>
    </row>
    <row r="17" spans="3:6" ht="13.5" x14ac:dyDescent="0.25">
      <c r="C17" s="63"/>
      <c r="D17" s="64"/>
      <c r="F17" s="20"/>
    </row>
    <row r="18" spans="3:6" ht="13.5" x14ac:dyDescent="0.25">
      <c r="C18" s="63"/>
      <c r="D18" s="64"/>
      <c r="F18" s="20"/>
    </row>
    <row r="19" spans="3:6" ht="13.5" x14ac:dyDescent="0.25">
      <c r="C19" s="64" t="s">
        <v>39</v>
      </c>
      <c r="D19" s="64"/>
      <c r="F19" s="20"/>
    </row>
    <row r="20" spans="3:6" ht="13.5" x14ac:dyDescent="0.25">
      <c r="C20" s="67" t="s">
        <v>40</v>
      </c>
      <c r="D20" s="68">
        <f>_xlfn.AGGREGATE(9,0,PlageEntrees2026)</f>
        <v>998480</v>
      </c>
      <c r="F20" s="20" t="str">
        <f t="shared" ca="1" si="0"/>
        <v>=AGREGAT(9;0;PlageEntrees2026)</v>
      </c>
    </row>
    <row r="21" spans="3:6" ht="13.5" x14ac:dyDescent="0.25">
      <c r="C21" s="67" t="s">
        <v>41</v>
      </c>
      <c r="D21" s="68">
        <f>_xlfn.AGGREGATE(9,0,PlagePrets2026)</f>
        <v>33836</v>
      </c>
      <c r="F21" s="20" t="str">
        <f t="shared" ca="1" si="0"/>
        <v>=AGREGAT(9;0;PlagePrets2026)</v>
      </c>
    </row>
    <row r="22" spans="3:6" ht="13.5" x14ac:dyDescent="0.25">
      <c r="C22" s="67" t="s">
        <v>48</v>
      </c>
      <c r="D22" s="68">
        <f>_xlfn.AGGREGATE(9,0,PlagesSollicitations2026)</f>
        <v>11047</v>
      </c>
      <c r="F22" s="20" t="str">
        <f t="shared" ca="1" si="0"/>
        <v>=AGREGAT(9;0;PlagesSollicitations2026)</v>
      </c>
    </row>
    <row r="23" spans="3:6" ht="13.5" x14ac:dyDescent="0.25">
      <c r="C23" s="63"/>
      <c r="D23" s="69"/>
      <c r="F23" s="20"/>
    </row>
    <row r="24" spans="3:6" ht="13.5" x14ac:dyDescent="0.25">
      <c r="C24" s="64" t="s">
        <v>49</v>
      </c>
      <c r="D24" s="69"/>
      <c r="F24" s="20"/>
    </row>
    <row r="25" spans="3:6" ht="13.5" x14ac:dyDescent="0.25">
      <c r="C25" s="67" t="s">
        <v>40</v>
      </c>
      <c r="D25" s="68">
        <f>_xlfn.AGGREGATE(1,0,PlageEntrees2026)</f>
        <v>124810</v>
      </c>
      <c r="F25" s="20" t="str">
        <f t="shared" ca="1" si="0"/>
        <v>=AGREGAT(1;0;PlageEntrees2026)</v>
      </c>
    </row>
    <row r="26" spans="3:6" ht="13.5" x14ac:dyDescent="0.25">
      <c r="C26" s="67" t="s">
        <v>41</v>
      </c>
      <c r="D26" s="68">
        <f>_xlfn.AGGREGATE(1,0,PlagePrets2026)</f>
        <v>4833.7142857142853</v>
      </c>
      <c r="F26" s="20" t="str">
        <f t="shared" ca="1" si="0"/>
        <v>=AGREGAT(1;0;PlagePrets2026)</v>
      </c>
    </row>
    <row r="27" spans="3:6" ht="13.5" x14ac:dyDescent="0.25">
      <c r="C27" s="67" t="s">
        <v>48</v>
      </c>
      <c r="D27" s="68">
        <f>_xlfn.AGGREGATE(1,0,PlagesSollicitations2026)</f>
        <v>1380.875</v>
      </c>
      <c r="F27" s="20" t="str">
        <f t="shared" ca="1" si="0"/>
        <v>=AGREGAT(1;0;PlagesSollicitations2026)</v>
      </c>
    </row>
    <row r="28" spans="3:6" ht="13.5" x14ac:dyDescent="0.25">
      <c r="C28" s="63"/>
      <c r="D28" s="69"/>
      <c r="F28" s="20"/>
    </row>
    <row r="29" spans="3:6" ht="13.5" x14ac:dyDescent="0.25">
      <c r="C29" s="64" t="s">
        <v>42</v>
      </c>
      <c r="D29" s="69"/>
      <c r="F29" s="20"/>
    </row>
    <row r="30" spans="3:6" ht="13.5" x14ac:dyDescent="0.25">
      <c r="C30" s="67" t="s">
        <v>40</v>
      </c>
      <c r="D30" s="68">
        <f>_xlfn.AGGREGATE(12,0,PlageEntrees2026)</f>
        <v>160515.5</v>
      </c>
      <c r="F30" s="20" t="str">
        <f t="shared" ca="1" si="0"/>
        <v>=AGREGAT(12;0;PlageEntrees2026)</v>
      </c>
    </row>
    <row r="31" spans="3:6" ht="13.5" x14ac:dyDescent="0.25">
      <c r="C31" s="67" t="s">
        <v>41</v>
      </c>
      <c r="D31" s="68">
        <f>_xlfn.AGGREGATE(12,0,PlagePrets2026)</f>
        <v>5243</v>
      </c>
      <c r="F31" s="20" t="str">
        <f t="shared" ca="1" si="0"/>
        <v>=AGREGAT(12;0;PlagePrets2026)</v>
      </c>
    </row>
    <row r="32" spans="3:6" ht="13.5" x14ac:dyDescent="0.25">
      <c r="C32" s="67" t="s">
        <v>48</v>
      </c>
      <c r="D32" s="68">
        <f>_xlfn.AGGREGATE(12,0,PlagesSollicitations2026)</f>
        <v>1511.5</v>
      </c>
      <c r="F32" s="20" t="str">
        <f t="shared" ca="1" si="0"/>
        <v>=AGREGAT(12;0;PlagesSollicitations2026)</v>
      </c>
    </row>
    <row r="33" spans="3:6" ht="13.5" x14ac:dyDescent="0.25">
      <c r="C33" s="63"/>
      <c r="D33" s="69"/>
      <c r="F33" s="20"/>
    </row>
    <row r="34" spans="3:6" ht="13.5" x14ac:dyDescent="0.25">
      <c r="C34" s="64" t="s">
        <v>43</v>
      </c>
      <c r="D34" s="69"/>
      <c r="F34" s="20"/>
    </row>
    <row r="35" spans="3:6" ht="13.5" x14ac:dyDescent="0.25">
      <c r="C35" s="70" t="s">
        <v>51</v>
      </c>
      <c r="D35" s="71">
        <f>_xlfn.AGGREGATE(4,0,PlageEntrees2026)</f>
        <v>210289</v>
      </c>
      <c r="F35" s="20" t="str">
        <f t="shared" ca="1" si="0"/>
        <v>=AGREGAT(4;0;PlageEntrees2026)</v>
      </c>
    </row>
    <row r="36" spans="3:6" ht="13.5" x14ac:dyDescent="0.25">
      <c r="C36" s="67" t="s">
        <v>50</v>
      </c>
      <c r="D36" s="72">
        <f>_xlfn.XLOOKUP(D35,PlageEntrees2026,PlageDates2026)</f>
        <v>46173</v>
      </c>
      <c r="F36" s="20" t="str">
        <f t="shared" ca="1" si="0"/>
        <v>=RECHERCHEX(D35;PlageEntrees2026;PlageDates2026)</v>
      </c>
    </row>
    <row r="37" spans="3:6" ht="13.5" x14ac:dyDescent="0.25">
      <c r="C37" s="63"/>
      <c r="D37" s="69"/>
      <c r="F37" s="20"/>
    </row>
    <row r="38" spans="3:6" ht="13.5" x14ac:dyDescent="0.25">
      <c r="C38" s="67" t="s">
        <v>52</v>
      </c>
      <c r="D38" s="68">
        <f>_xlfn.AGGREGATE(4,0,PlagePrets2026)</f>
        <v>7262</v>
      </c>
      <c r="F38" s="20" t="str">
        <f t="shared" ca="1" si="0"/>
        <v>=AGREGAT(4;0;PlagePrets2026)</v>
      </c>
    </row>
    <row r="39" spans="3:6" ht="13.5" x14ac:dyDescent="0.25">
      <c r="C39" s="73" t="s">
        <v>53</v>
      </c>
      <c r="D39" s="72">
        <f>_xlfn.XLOOKUP(D38,PlagePrets2026,PlageDates2026)</f>
        <v>46112</v>
      </c>
      <c r="F39" s="20" t="str">
        <f t="shared" ca="1" si="0"/>
        <v>=RECHERCHEX(D38;PlagePrets2026;PlageDates2026)</v>
      </c>
    </row>
    <row r="40" spans="3:6" ht="13.5" x14ac:dyDescent="0.25">
      <c r="C40" s="63"/>
      <c r="D40" s="74"/>
      <c r="F40" s="20"/>
    </row>
    <row r="41" spans="3:6" ht="13.5" x14ac:dyDescent="0.25">
      <c r="C41" s="67" t="s">
        <v>55</v>
      </c>
      <c r="D41" s="68">
        <f>_xlfn.AGGREGATE(4,0,PlagesSollicitations2026)</f>
        <v>1970</v>
      </c>
      <c r="F41" s="20" t="str">
        <f t="shared" ca="1" si="0"/>
        <v>=AGREGAT(4;0;PlagesSollicitations2026)</v>
      </c>
    </row>
    <row r="42" spans="3:6" ht="13.5" x14ac:dyDescent="0.25">
      <c r="C42" s="73" t="s">
        <v>54</v>
      </c>
      <c r="D42" s="72">
        <f>_xlfn.XLOOKUP(D41,PlagesSollicitations2026,PlageDates2026)</f>
        <v>46112</v>
      </c>
      <c r="F42" s="20" t="str">
        <f t="shared" ca="1" si="0"/>
        <v>=RECHERCHEX(D41;PlagesSollicitations2026;PlageDates2026)</v>
      </c>
    </row>
    <row r="43" spans="3:6" ht="13.5" x14ac:dyDescent="0.25">
      <c r="C43" s="63"/>
      <c r="D43" s="74"/>
      <c r="F43" s="20"/>
    </row>
    <row r="44" spans="3:6" ht="11.25" customHeight="1" x14ac:dyDescent="0.25">
      <c r="C44" s="63"/>
      <c r="D44" s="69"/>
      <c r="F44" s="20"/>
    </row>
    <row r="45" spans="3:6" ht="13.5" x14ac:dyDescent="0.25">
      <c r="C45" s="64" t="s">
        <v>44</v>
      </c>
      <c r="D45" s="69"/>
      <c r="F45" s="20"/>
    </row>
    <row r="46" spans="3:6" ht="13.5" x14ac:dyDescent="0.25">
      <c r="C46" s="67" t="s">
        <v>45</v>
      </c>
      <c r="D46" s="71">
        <f>_xlfn.AGGREGATE(5,0,PlageEntrees2026)</f>
        <v>28845</v>
      </c>
      <c r="F46" s="20" t="str">
        <f t="shared" ca="1" si="0"/>
        <v>=AGREGAT(5;0;PlageEntrees2026)</v>
      </c>
    </row>
    <row r="47" spans="3:6" ht="13.5" x14ac:dyDescent="0.25">
      <c r="C47" s="67" t="s">
        <v>62</v>
      </c>
      <c r="D47" s="72">
        <f>_xlfn.XLOOKUP(D46,PlageEntrees2026,PlageDates2026)</f>
        <v>46234</v>
      </c>
      <c r="F47" s="20" t="str">
        <f t="shared" ca="1" si="0"/>
        <v>=RECHERCHEX(D46;PlageEntrees2026;PlageDates2026)</v>
      </c>
    </row>
    <row r="48" spans="3:6" ht="13.5" x14ac:dyDescent="0.25">
      <c r="C48" s="63"/>
      <c r="D48" s="69"/>
      <c r="F48" s="20"/>
    </row>
    <row r="49" spans="3:6" ht="13.5" x14ac:dyDescent="0.25">
      <c r="C49" s="67" t="s">
        <v>46</v>
      </c>
      <c r="D49" s="68">
        <f>_xlfn.AGGREGATE(5,0,PlagePrets2026)</f>
        <v>1639</v>
      </c>
      <c r="F49" s="20" t="str">
        <f t="shared" ca="1" si="0"/>
        <v>=AGREGAT(5;0;PlagePrets2026)</v>
      </c>
    </row>
    <row r="50" spans="3:6" ht="13.5" x14ac:dyDescent="0.25">
      <c r="C50" s="67" t="s">
        <v>63</v>
      </c>
      <c r="D50" s="72">
        <f>_xlfn.XLOOKUP(D49,PlagePrets2026,PlageDates2026)</f>
        <v>46234</v>
      </c>
      <c r="F50" s="20" t="str">
        <f t="shared" ca="1" si="0"/>
        <v>=RECHERCHEX(D49;PlagePrets2026;PlageDates2026)</v>
      </c>
    </row>
    <row r="51" spans="3:6" ht="13.5" x14ac:dyDescent="0.25">
      <c r="C51" s="54"/>
      <c r="D51" s="74"/>
      <c r="F51" s="20"/>
    </row>
    <row r="52" spans="3:6" ht="13.5" x14ac:dyDescent="0.25">
      <c r="C52" s="67" t="s">
        <v>56</v>
      </c>
      <c r="D52" s="68">
        <f>_xlfn.AGGREGATE(5,0,PlagesSollicitations2026)</f>
        <v>792</v>
      </c>
      <c r="F52" s="20" t="str">
        <f t="shared" ca="1" si="0"/>
        <v>=AGREGAT(5;0;PlagesSollicitations2026)</v>
      </c>
    </row>
    <row r="53" spans="3:6" ht="13.5" x14ac:dyDescent="0.25">
      <c r="C53" s="73" t="s">
        <v>57</v>
      </c>
      <c r="D53" s="72">
        <f>_xlfn.XLOOKUP(D52,PlagesSollicitations2026,PlageDates2026)</f>
        <v>46265</v>
      </c>
      <c r="F53" s="20" t="str">
        <f t="shared" ca="1" si="0"/>
        <v>=RECHERCHEX(D52;PlagesSollicitations2026;PlageDates2026)</v>
      </c>
    </row>
  </sheetData>
  <dataValidations disablePrompts="1" count="1">
    <dataValidation errorStyle="information" operator="greaterThan" showErrorMessage="1" errorTitle="Message SISB" error="Veuillez entrer un nombre positif entier" promptTitle="Message SISB" prompt="veuillez entrer un nombre entier" sqref="E4:L4 E2:P3" xr:uid="{799A5D89-836E-48E1-898B-25CD59B37AE7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9AE7-1086-4EC5-97AD-92E1DE7F4237}">
  <sheetPr>
    <tabColor theme="6" tint="0.59999389629810485"/>
  </sheetPr>
  <dimension ref="B1:Q101"/>
  <sheetViews>
    <sheetView showGridLines="0" zoomScale="85" zoomScaleNormal="85" workbookViewId="0">
      <selection activeCell="B27" sqref="B27"/>
    </sheetView>
  </sheetViews>
  <sheetFormatPr baseColWidth="10" defaultRowHeight="12" x14ac:dyDescent="0.2"/>
  <cols>
    <col min="2" max="2" width="16.6640625" customWidth="1"/>
    <col min="4" max="5" width="40.5" customWidth="1"/>
    <col min="6" max="17" width="13.83203125" customWidth="1"/>
    <col min="19" max="19" width="86" customWidth="1"/>
  </cols>
  <sheetData>
    <row r="1" spans="2:17" ht="12.75" thickBot="1" x14ac:dyDescent="0.25"/>
    <row r="2" spans="2:17" ht="14.25" thickBot="1" x14ac:dyDescent="0.3">
      <c r="B2" s="17" t="s">
        <v>0</v>
      </c>
      <c r="C2" s="17" t="s">
        <v>58</v>
      </c>
      <c r="D2" s="17" t="s">
        <v>1</v>
      </c>
      <c r="E2" s="18" t="s">
        <v>2</v>
      </c>
      <c r="F2" s="22">
        <v>46053</v>
      </c>
      <c r="G2" s="22">
        <v>46081</v>
      </c>
      <c r="H2" s="22">
        <v>46112</v>
      </c>
      <c r="I2" s="22">
        <v>46142</v>
      </c>
      <c r="J2" s="22">
        <v>46173</v>
      </c>
      <c r="K2" s="22">
        <v>46203</v>
      </c>
      <c r="L2" s="22">
        <v>46234</v>
      </c>
      <c r="M2" s="22">
        <v>46265</v>
      </c>
      <c r="N2" s="22">
        <v>46295</v>
      </c>
      <c r="O2" s="22">
        <v>46326</v>
      </c>
      <c r="P2" s="22">
        <v>46356</v>
      </c>
      <c r="Q2" s="22">
        <v>46387</v>
      </c>
    </row>
    <row r="3" spans="2:17" ht="54" x14ac:dyDescent="0.2">
      <c r="B3" s="86" t="s">
        <v>3</v>
      </c>
      <c r="C3" s="87" t="s">
        <v>59</v>
      </c>
      <c r="D3" s="88" t="s">
        <v>4</v>
      </c>
      <c r="E3" s="16" t="s">
        <v>34</v>
      </c>
      <c r="F3" s="92">
        <v>151902</v>
      </c>
      <c r="G3" s="92">
        <v>50727</v>
      </c>
      <c r="H3" s="92">
        <v>175830</v>
      </c>
      <c r="I3" s="92">
        <v>172017</v>
      </c>
      <c r="J3" s="92">
        <v>210289</v>
      </c>
      <c r="K3" s="92">
        <v>169129</v>
      </c>
      <c r="L3" s="92">
        <v>28845</v>
      </c>
      <c r="M3" s="92">
        <v>39741</v>
      </c>
      <c r="N3" s="92"/>
      <c r="O3" s="92"/>
      <c r="P3" s="92"/>
      <c r="Q3" s="93"/>
    </row>
    <row r="4" spans="2:17" ht="54" x14ac:dyDescent="0.2">
      <c r="B4" s="89" t="s">
        <v>32</v>
      </c>
      <c r="C4" s="90" t="s">
        <v>60</v>
      </c>
      <c r="D4" s="91" t="s">
        <v>33</v>
      </c>
      <c r="E4" s="13" t="s">
        <v>35</v>
      </c>
      <c r="F4" s="94">
        <v>5252</v>
      </c>
      <c r="G4" s="94">
        <v>7084</v>
      </c>
      <c r="H4" s="94">
        <v>7262</v>
      </c>
      <c r="I4" s="94">
        <v>5243</v>
      </c>
      <c r="J4" s="94">
        <v>4215</v>
      </c>
      <c r="K4" s="94">
        <v>3141</v>
      </c>
      <c r="L4" s="94">
        <v>1639</v>
      </c>
      <c r="M4" s="95"/>
      <c r="N4" s="95"/>
      <c r="O4" s="95"/>
      <c r="P4" s="95"/>
      <c r="Q4" s="96"/>
    </row>
    <row r="5" spans="2:17" ht="27" x14ac:dyDescent="0.2">
      <c r="B5" s="89" t="s">
        <v>29</v>
      </c>
      <c r="C5" s="90" t="s">
        <v>59</v>
      </c>
      <c r="D5" s="91" t="s">
        <v>30</v>
      </c>
      <c r="E5" s="13" t="s">
        <v>31</v>
      </c>
      <c r="F5" s="94">
        <v>1505</v>
      </c>
      <c r="G5" s="94">
        <v>1224</v>
      </c>
      <c r="H5" s="94">
        <v>1970</v>
      </c>
      <c r="I5" s="94">
        <v>1546</v>
      </c>
      <c r="J5" s="94">
        <v>1667</v>
      </c>
      <c r="K5" s="94">
        <v>1518</v>
      </c>
      <c r="L5" s="94">
        <v>825</v>
      </c>
      <c r="M5" s="94">
        <v>792</v>
      </c>
      <c r="N5" s="95"/>
      <c r="O5" s="95"/>
      <c r="P5" s="95"/>
      <c r="Q5" s="96"/>
    </row>
    <row r="8" spans="2:17" x14ac:dyDescent="0.2">
      <c r="C8" s="78"/>
      <c r="D8" s="78"/>
      <c r="E8" s="78"/>
      <c r="F8" s="78"/>
      <c r="G8" s="79"/>
      <c r="H8" s="78"/>
      <c r="I8" s="78"/>
      <c r="J8" s="78"/>
    </row>
    <row r="9" spans="2:17" ht="18.75" x14ac:dyDescent="0.3">
      <c r="C9" s="97" t="s">
        <v>69</v>
      </c>
      <c r="D9" s="98"/>
      <c r="E9" s="98"/>
      <c r="F9" s="99"/>
      <c r="G9" s="19" t="s">
        <v>61</v>
      </c>
      <c r="H9" s="14"/>
      <c r="I9" s="14"/>
      <c r="J9" s="14"/>
    </row>
    <row r="10" spans="2:17" ht="13.5" x14ac:dyDescent="0.25">
      <c r="C10" s="78"/>
      <c r="D10" s="54"/>
      <c r="E10" s="54"/>
    </row>
    <row r="11" spans="2:17" ht="13.5" x14ac:dyDescent="0.25">
      <c r="C11" s="78"/>
      <c r="D11" s="76" t="s">
        <v>70</v>
      </c>
      <c r="E11" s="77">
        <f>COUNTIF(C3:C5,"ASAP")</f>
        <v>2</v>
      </c>
      <c r="G11" s="20" t="str">
        <f ca="1">_xlfn.FORMULATEXT(E11)</f>
        <v>=NB.SI(C3:C5;"ASAP")</v>
      </c>
    </row>
    <row r="12" spans="2:17" ht="13.5" x14ac:dyDescent="0.25">
      <c r="C12" s="78"/>
      <c r="D12" s="76" t="s">
        <v>71</v>
      </c>
      <c r="E12" s="77">
        <f>COUNTIF(C3:C5,"FDOC")</f>
        <v>1</v>
      </c>
      <c r="G12" s="20" t="str">
        <f ca="1">_xlfn.FORMULATEXT(E12)</f>
        <v>=NB.SI(C3:C5;"FDOC")</v>
      </c>
    </row>
    <row r="13" spans="2:17" ht="13.5" x14ac:dyDescent="0.25">
      <c r="C13" s="78"/>
      <c r="D13" s="54"/>
      <c r="E13" s="54"/>
    </row>
    <row r="14" spans="2:17" ht="13.5" x14ac:dyDescent="0.25">
      <c r="C14" s="78"/>
      <c r="D14" s="60" t="s">
        <v>72</v>
      </c>
      <c r="E14" s="61">
        <f>MIN(F2:Q2)</f>
        <v>46053</v>
      </c>
      <c r="G14" s="20" t="str">
        <f ca="1">_xlfn.FORMULATEXT(E14)</f>
        <v>=MIN(F2:Q2)</v>
      </c>
    </row>
    <row r="15" spans="2:17" ht="13.5" x14ac:dyDescent="0.25">
      <c r="C15" s="78"/>
      <c r="D15" s="60" t="s">
        <v>73</v>
      </c>
      <c r="E15" s="61">
        <f>MAX(F2:Q2)</f>
        <v>46387</v>
      </c>
      <c r="G15" s="20" t="str">
        <f t="shared" ref="G15:G54" ca="1" si="0">_xlfn.FORMULATEXT(E15)</f>
        <v>=MAX(F2:Q2)</v>
      </c>
    </row>
    <row r="16" spans="2:17" ht="13.5" x14ac:dyDescent="0.25">
      <c r="C16" s="78"/>
      <c r="D16" s="63"/>
      <c r="E16" s="64"/>
      <c r="G16" s="20"/>
    </row>
    <row r="17" spans="3:8" ht="13.5" x14ac:dyDescent="0.25">
      <c r="C17" s="78"/>
      <c r="D17" s="60" t="s">
        <v>47</v>
      </c>
      <c r="E17" s="65">
        <f>COUNT(F2:Q2)</f>
        <v>12</v>
      </c>
      <c r="G17" s="20" t="str">
        <f t="shared" ca="1" si="0"/>
        <v>=NB(F2:Q2)</v>
      </c>
      <c r="H17" s="15"/>
    </row>
    <row r="18" spans="3:8" ht="13.5" x14ac:dyDescent="0.25">
      <c r="C18" s="78"/>
      <c r="D18" s="63"/>
      <c r="E18" s="64"/>
      <c r="G18" s="20"/>
    </row>
    <row r="19" spans="3:8" ht="13.5" x14ac:dyDescent="0.25">
      <c r="C19" s="78"/>
      <c r="D19" s="63"/>
      <c r="E19" s="64"/>
      <c r="G19" s="20"/>
    </row>
    <row r="20" spans="3:8" ht="13.5" x14ac:dyDescent="0.25">
      <c r="C20" s="78"/>
      <c r="D20" s="64" t="s">
        <v>39</v>
      </c>
      <c r="E20" s="64"/>
      <c r="G20" s="20"/>
    </row>
    <row r="21" spans="3:8" ht="13.5" x14ac:dyDescent="0.25">
      <c r="C21" s="78"/>
      <c r="D21" s="67" t="s">
        <v>40</v>
      </c>
      <c r="E21" s="68">
        <f>_xlfn.AGGREGATE(9,0,PlageEntrees2026)</f>
        <v>998480</v>
      </c>
      <c r="G21" s="20" t="str">
        <f t="shared" ca="1" si="0"/>
        <v>=AGREGAT(9;0;PlageEntrees2026)</v>
      </c>
    </row>
    <row r="22" spans="3:8" ht="13.5" x14ac:dyDescent="0.25">
      <c r="C22" s="78"/>
      <c r="D22" s="67" t="s">
        <v>41</v>
      </c>
      <c r="E22" s="68">
        <f>_xlfn.AGGREGATE(9,0,PlagePrets2026)</f>
        <v>33836</v>
      </c>
      <c r="G22" s="20" t="str">
        <f t="shared" ca="1" si="0"/>
        <v>=AGREGAT(9;0;PlagePrets2026)</v>
      </c>
    </row>
    <row r="23" spans="3:8" ht="13.5" x14ac:dyDescent="0.25">
      <c r="C23" s="78"/>
      <c r="D23" s="67" t="s">
        <v>48</v>
      </c>
      <c r="E23" s="68">
        <f>_xlfn.AGGREGATE(9,0,PlagesSollicitations2026)</f>
        <v>11047</v>
      </c>
      <c r="G23" s="20" t="str">
        <f t="shared" ca="1" si="0"/>
        <v>=AGREGAT(9;0;PlagesSollicitations2026)</v>
      </c>
    </row>
    <row r="24" spans="3:8" ht="13.5" x14ac:dyDescent="0.25">
      <c r="C24" s="78"/>
      <c r="D24" s="63"/>
      <c r="E24" s="69"/>
      <c r="G24" s="20"/>
    </row>
    <row r="25" spans="3:8" ht="13.5" x14ac:dyDescent="0.25">
      <c r="C25" s="78"/>
      <c r="D25" s="64" t="s">
        <v>49</v>
      </c>
      <c r="E25" s="69"/>
      <c r="G25" s="20"/>
    </row>
    <row r="26" spans="3:8" ht="13.5" x14ac:dyDescent="0.25">
      <c r="C26" s="78"/>
      <c r="D26" s="67" t="s">
        <v>40</v>
      </c>
      <c r="E26" s="68">
        <f>_xlfn.AGGREGATE(1,0,PlageEntrees2026)</f>
        <v>124810</v>
      </c>
      <c r="G26" s="20" t="str">
        <f t="shared" ca="1" si="0"/>
        <v>=AGREGAT(1;0;PlageEntrees2026)</v>
      </c>
    </row>
    <row r="27" spans="3:8" ht="13.5" x14ac:dyDescent="0.25">
      <c r="C27" s="78"/>
      <c r="D27" s="67" t="s">
        <v>41</v>
      </c>
      <c r="E27" s="68">
        <f>_xlfn.AGGREGATE(1,0,PlagePrets2026)</f>
        <v>4833.7142857142853</v>
      </c>
      <c r="G27" s="20" t="str">
        <f t="shared" ca="1" si="0"/>
        <v>=AGREGAT(1;0;PlagePrets2026)</v>
      </c>
    </row>
    <row r="28" spans="3:8" ht="13.5" x14ac:dyDescent="0.25">
      <c r="C28" s="78"/>
      <c r="D28" s="67" t="s">
        <v>48</v>
      </c>
      <c r="E28" s="68">
        <f>_xlfn.AGGREGATE(1,0,PlagesSollicitations2026)</f>
        <v>1380.875</v>
      </c>
      <c r="G28" s="20" t="str">
        <f t="shared" ca="1" si="0"/>
        <v>=AGREGAT(1;0;PlagesSollicitations2026)</v>
      </c>
    </row>
    <row r="29" spans="3:8" ht="13.5" x14ac:dyDescent="0.25">
      <c r="C29" s="78"/>
      <c r="D29" s="63"/>
      <c r="E29" s="69"/>
      <c r="G29" s="20"/>
    </row>
    <row r="30" spans="3:8" ht="13.5" x14ac:dyDescent="0.25">
      <c r="C30" s="78"/>
      <c r="D30" s="64" t="s">
        <v>42</v>
      </c>
      <c r="E30" s="69"/>
      <c r="G30" s="20"/>
    </row>
    <row r="31" spans="3:8" ht="13.5" x14ac:dyDescent="0.25">
      <c r="C31" s="78"/>
      <c r="D31" s="67" t="s">
        <v>40</v>
      </c>
      <c r="E31" s="68">
        <f>_xlfn.AGGREGATE(12,0,PlageEntrees2026)</f>
        <v>160515.5</v>
      </c>
      <c r="G31" s="20" t="str">
        <f t="shared" ca="1" si="0"/>
        <v>=AGREGAT(12;0;PlageEntrees2026)</v>
      </c>
    </row>
    <row r="32" spans="3:8" ht="13.5" x14ac:dyDescent="0.25">
      <c r="C32" s="78"/>
      <c r="D32" s="67" t="s">
        <v>41</v>
      </c>
      <c r="E32" s="68">
        <f>_xlfn.AGGREGATE(12,0,PlagePrets2026)</f>
        <v>5243</v>
      </c>
      <c r="G32" s="20" t="str">
        <f t="shared" ca="1" si="0"/>
        <v>=AGREGAT(12;0;PlagePrets2026)</v>
      </c>
    </row>
    <row r="33" spans="3:7" ht="13.5" x14ac:dyDescent="0.25">
      <c r="C33" s="78"/>
      <c r="D33" s="67" t="s">
        <v>48</v>
      </c>
      <c r="E33" s="68">
        <f>_xlfn.AGGREGATE(12,0,PlagesSollicitations2026)</f>
        <v>1511.5</v>
      </c>
      <c r="G33" s="20" t="str">
        <f t="shared" ca="1" si="0"/>
        <v>=AGREGAT(12;0;PlagesSollicitations2026)</v>
      </c>
    </row>
    <row r="34" spans="3:7" ht="13.5" x14ac:dyDescent="0.25">
      <c r="C34" s="78"/>
      <c r="D34" s="63"/>
      <c r="E34" s="69"/>
      <c r="G34" s="20"/>
    </row>
    <row r="35" spans="3:7" ht="13.5" x14ac:dyDescent="0.25">
      <c r="C35" s="78"/>
      <c r="D35" s="64" t="s">
        <v>43</v>
      </c>
      <c r="E35" s="69"/>
      <c r="G35" s="20"/>
    </row>
    <row r="36" spans="3:7" ht="13.5" x14ac:dyDescent="0.25">
      <c r="C36" s="78"/>
      <c r="D36" s="70" t="s">
        <v>51</v>
      </c>
      <c r="E36" s="71">
        <f>_xlfn.AGGREGATE(4,0,PlageEntrees2026)</f>
        <v>210289</v>
      </c>
      <c r="G36" s="20" t="str">
        <f t="shared" ca="1" si="0"/>
        <v>=AGREGAT(4;0;PlageEntrees2026)</v>
      </c>
    </row>
    <row r="37" spans="3:7" ht="13.5" x14ac:dyDescent="0.25">
      <c r="C37" s="78"/>
      <c r="D37" s="67" t="s">
        <v>50</v>
      </c>
      <c r="E37" s="72">
        <f>_xlfn.XLOOKUP(E36,PlageEntrees2026,PlageDates2026)</f>
        <v>46173</v>
      </c>
      <c r="G37" s="20" t="str">
        <f t="shared" ca="1" si="0"/>
        <v>=RECHERCHEX(E36;PlageEntrees2026;PlageDates2026)</v>
      </c>
    </row>
    <row r="38" spans="3:7" ht="13.5" x14ac:dyDescent="0.25">
      <c r="C38" s="78"/>
      <c r="D38" s="63"/>
      <c r="E38" s="69"/>
      <c r="G38" s="20"/>
    </row>
    <row r="39" spans="3:7" ht="13.5" x14ac:dyDescent="0.25">
      <c r="C39" s="78"/>
      <c r="D39" s="67" t="s">
        <v>52</v>
      </c>
      <c r="E39" s="68">
        <f>_xlfn.AGGREGATE(4,0,PlagePrets2026)</f>
        <v>7262</v>
      </c>
      <c r="G39" s="20" t="str">
        <f t="shared" ca="1" si="0"/>
        <v>=AGREGAT(4;0;PlagePrets2026)</v>
      </c>
    </row>
    <row r="40" spans="3:7" ht="11.25" customHeight="1" x14ac:dyDescent="0.25">
      <c r="C40" s="78"/>
      <c r="D40" s="73" t="s">
        <v>53</v>
      </c>
      <c r="E40" s="72">
        <f>_xlfn.XLOOKUP(E39,PlagePrets2026,PlageDates2026)</f>
        <v>46112</v>
      </c>
      <c r="G40" s="20" t="str">
        <f t="shared" ca="1" si="0"/>
        <v>=RECHERCHEX(E39;PlagePrets2026;PlageDates2026)</v>
      </c>
    </row>
    <row r="41" spans="3:7" ht="13.5" x14ac:dyDescent="0.25">
      <c r="C41" s="78"/>
      <c r="D41" s="63"/>
      <c r="E41" s="74"/>
      <c r="G41" s="20"/>
    </row>
    <row r="42" spans="3:7" ht="13.5" x14ac:dyDescent="0.25">
      <c r="C42" s="78"/>
      <c r="D42" s="67" t="s">
        <v>55</v>
      </c>
      <c r="E42" s="68">
        <f>_xlfn.AGGREGATE(4,0,PlagesSollicitations2026)</f>
        <v>1970</v>
      </c>
      <c r="G42" s="20" t="str">
        <f t="shared" ca="1" si="0"/>
        <v>=AGREGAT(4;0;PlagesSollicitations2026)</v>
      </c>
    </row>
    <row r="43" spans="3:7" ht="13.5" x14ac:dyDescent="0.25">
      <c r="C43" s="78"/>
      <c r="D43" s="73" t="s">
        <v>54</v>
      </c>
      <c r="E43" s="72">
        <f>_xlfn.XLOOKUP(E42,PlagesSollicitations2026,PlageDates2026)</f>
        <v>46112</v>
      </c>
      <c r="G43" s="20" t="str">
        <f t="shared" ca="1" si="0"/>
        <v>=RECHERCHEX(E42;PlagesSollicitations2026;PlageDates2026)</v>
      </c>
    </row>
    <row r="44" spans="3:7" ht="13.5" x14ac:dyDescent="0.25">
      <c r="C44" s="78"/>
      <c r="D44" s="63"/>
      <c r="E44" s="74"/>
      <c r="G44" s="20"/>
    </row>
    <row r="45" spans="3:7" ht="13.5" x14ac:dyDescent="0.25">
      <c r="C45" s="78"/>
      <c r="D45" s="63"/>
      <c r="E45" s="69"/>
      <c r="G45" s="20"/>
    </row>
    <row r="46" spans="3:7" ht="13.5" x14ac:dyDescent="0.25">
      <c r="C46" s="78"/>
      <c r="D46" s="64" t="s">
        <v>44</v>
      </c>
      <c r="E46" s="69"/>
      <c r="G46" s="20"/>
    </row>
    <row r="47" spans="3:7" ht="13.5" x14ac:dyDescent="0.25">
      <c r="C47" s="78"/>
      <c r="D47" s="67" t="s">
        <v>45</v>
      </c>
      <c r="E47" s="71">
        <f>_xlfn.AGGREGATE(5,0,PlageEntrees2026)</f>
        <v>28845</v>
      </c>
      <c r="G47" s="20" t="str">
        <f t="shared" ca="1" si="0"/>
        <v>=AGREGAT(5;0;PlageEntrees2026)</v>
      </c>
    </row>
    <row r="48" spans="3:7" ht="13.5" x14ac:dyDescent="0.25">
      <c r="C48" s="78"/>
      <c r="D48" s="67" t="s">
        <v>62</v>
      </c>
      <c r="E48" s="72">
        <f>_xlfn.XLOOKUP(E47,PlageEntrees2026,PlageDates2026)</f>
        <v>46234</v>
      </c>
      <c r="G48" s="20" t="str">
        <f t="shared" ca="1" si="0"/>
        <v>=RECHERCHEX(E47;PlageEntrees2026;PlageDates2026)</v>
      </c>
    </row>
    <row r="49" spans="3:7" ht="13.5" x14ac:dyDescent="0.25">
      <c r="C49" s="78"/>
      <c r="D49" s="63"/>
      <c r="E49" s="69"/>
      <c r="G49" s="20"/>
    </row>
    <row r="50" spans="3:7" ht="13.5" x14ac:dyDescent="0.25">
      <c r="D50" s="67" t="s">
        <v>46</v>
      </c>
      <c r="E50" s="68">
        <f>_xlfn.AGGREGATE(5,0,PlagePrets2026)</f>
        <v>1639</v>
      </c>
      <c r="G50" s="20" t="str">
        <f t="shared" ca="1" si="0"/>
        <v>=AGREGAT(5;0;PlagePrets2026)</v>
      </c>
    </row>
    <row r="51" spans="3:7" ht="13.5" x14ac:dyDescent="0.25">
      <c r="D51" s="67" t="s">
        <v>63</v>
      </c>
      <c r="E51" s="72">
        <f>_xlfn.XLOOKUP(E50,PlagePrets2026,PlageDates2026)</f>
        <v>46234</v>
      </c>
      <c r="G51" s="20" t="str">
        <f t="shared" ca="1" si="0"/>
        <v>=RECHERCHEX(E50;PlagePrets2026;PlageDates2026)</v>
      </c>
    </row>
    <row r="52" spans="3:7" ht="13.5" x14ac:dyDescent="0.25">
      <c r="D52" s="54"/>
      <c r="E52" s="74"/>
      <c r="G52" s="20"/>
    </row>
    <row r="53" spans="3:7" ht="13.5" x14ac:dyDescent="0.25">
      <c r="D53" s="67" t="s">
        <v>56</v>
      </c>
      <c r="E53" s="68">
        <f>_xlfn.AGGREGATE(5,0,PlagesSollicitations2026)</f>
        <v>792</v>
      </c>
      <c r="G53" s="20" t="str">
        <f t="shared" ca="1" si="0"/>
        <v>=AGREGAT(5;0;PlagesSollicitations2026)</v>
      </c>
    </row>
    <row r="54" spans="3:7" ht="13.5" x14ac:dyDescent="0.25">
      <c r="D54" s="73" t="s">
        <v>57</v>
      </c>
      <c r="E54" s="72">
        <f>_xlfn.XLOOKUP(E53,PlagesSollicitations2026,PlageDates2026)</f>
        <v>46265</v>
      </c>
      <c r="G54" s="20" t="str">
        <f t="shared" ca="1" si="0"/>
        <v>=RECHERCHEX(E53;PlagesSollicitations2026;PlageDates2026)</v>
      </c>
    </row>
    <row r="58" spans="3:7" ht="18.75" x14ac:dyDescent="0.3">
      <c r="C58" s="97" t="s">
        <v>74</v>
      </c>
      <c r="D58" s="98"/>
      <c r="E58" s="98"/>
      <c r="F58" s="98"/>
    </row>
    <row r="92" spans="4:5" x14ac:dyDescent="0.2">
      <c r="D92" s="100" t="s">
        <v>76</v>
      </c>
    </row>
    <row r="93" spans="4:5" x14ac:dyDescent="0.2">
      <c r="D93" t="s">
        <v>77</v>
      </c>
    </row>
    <row r="95" spans="4:5" ht="13.5" x14ac:dyDescent="0.25">
      <c r="D95" s="101" t="s">
        <v>75</v>
      </c>
      <c r="E95" s="102">
        <f>CORREL(F3:Q3,F5:Q5)</f>
        <v>0.90035192229648831</v>
      </c>
    </row>
    <row r="98" spans="4:5" x14ac:dyDescent="0.2">
      <c r="D98" s="100" t="s">
        <v>78</v>
      </c>
    </row>
    <row r="99" spans="4:5" x14ac:dyDescent="0.2">
      <c r="D99" t="s">
        <v>79</v>
      </c>
    </row>
    <row r="101" spans="4:5" ht="13.5" x14ac:dyDescent="0.25">
      <c r="D101" s="101" t="s">
        <v>75</v>
      </c>
      <c r="E101" s="102">
        <f>RSQ(F3:Q3,F5:Q5)</f>
        <v>0.81063358398298213</v>
      </c>
    </row>
  </sheetData>
  <phoneticPr fontId="9" type="noConversion"/>
  <conditionalFormatting sqref="F3:Q3">
    <cfRule type="colorScale" priority="3">
      <colorScale>
        <cfvo type="min"/>
        <cfvo type="max"/>
        <color rgb="FFFCFCFF"/>
        <color rgb="FFF8696B"/>
      </colorScale>
    </cfRule>
  </conditionalFormatting>
  <conditionalFormatting sqref="F4:Q4">
    <cfRule type="colorScale" priority="2">
      <colorScale>
        <cfvo type="min"/>
        <cfvo type="max"/>
        <color rgb="FFFCFCFF"/>
        <color rgb="FFF8696B"/>
      </colorScale>
    </cfRule>
  </conditionalFormatting>
  <conditionalFormatting sqref="F5:Q5">
    <cfRule type="colorScale" priority="1">
      <colorScale>
        <cfvo type="min"/>
        <cfvo type="max"/>
        <color rgb="FFFCFCFF"/>
        <color rgb="FFF8696B"/>
      </colorScale>
    </cfRule>
  </conditionalFormatting>
  <dataValidations disablePrompts="1" count="1">
    <dataValidation errorStyle="information" operator="greaterThan" showErrorMessage="1" errorTitle="Message SISB" error="Veuillez entrer un nombre positif entier" promptTitle="Message SISB" prompt="veuillez entrer un nombre entier" sqref="F5:M5 F3:Q4" xr:uid="{6EC32E58-9E7F-45A0-A10F-0C9C616EB5E1}"/>
  </dataValidation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xr2:uid="{78647ADB-E468-4CC4-A40A-7021B97277EC}">
          <x14:colorSeries theme="2" tint="-0.249977111117893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7"/>
          <x14:colorLow theme="2" tint="-0.749992370372631"/>
          <x14:sparklines>
            <x14:sparkline>
              <xm:f>USEP_Demo_01!F3:Q3</xm:f>
              <xm:sqref>S3</xm:sqref>
            </x14:sparkline>
            <x14:sparkline>
              <xm:f>USEP_Demo_01!F4:Q4</xm:f>
              <xm:sqref>S4</xm:sqref>
            </x14:sparkline>
            <x14:sparkline>
              <xm:f>USEP_Demo_01!F5:Q5</xm:f>
              <xm:sqref>S5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84EE-4521-4066-B144-E00BB8585E00}">
  <sheetPr>
    <tabColor theme="6" tint="0.59999389629810485"/>
  </sheetPr>
  <dimension ref="B2:AG60"/>
  <sheetViews>
    <sheetView showGridLines="0" zoomScaleNormal="100" workbookViewId="0">
      <selection activeCell="P43" sqref="P43"/>
    </sheetView>
  </sheetViews>
  <sheetFormatPr baseColWidth="10" defaultRowHeight="15.95" customHeight="1" x14ac:dyDescent="0.2"/>
  <cols>
    <col min="2" max="2" width="16.6640625" customWidth="1"/>
    <col min="3" max="3" width="29.1640625" customWidth="1"/>
    <col min="4" max="4" width="47" customWidth="1"/>
    <col min="5" max="5" width="40.5" customWidth="1"/>
    <col min="6" max="6" width="13.6640625" bestFit="1" customWidth="1"/>
    <col min="7" max="7" width="17.83203125" customWidth="1"/>
    <col min="8" max="8" width="14.6640625" customWidth="1"/>
    <col min="9" max="9" width="13" bestFit="1" customWidth="1"/>
    <col min="10" max="10" width="13.83203125" customWidth="1"/>
    <col min="11" max="11" width="14.33203125" customWidth="1"/>
    <col min="12" max="12" width="12.1640625" bestFit="1" customWidth="1"/>
    <col min="13" max="13" width="14.83203125" customWidth="1"/>
    <col min="14" max="14" width="16" customWidth="1"/>
    <col min="16" max="17" width="13.83203125" customWidth="1"/>
    <col min="18" max="18" width="4.6640625" style="78" customWidth="1"/>
    <col min="19" max="19" width="11.1640625" customWidth="1"/>
    <col min="21" max="21" width="59.33203125" bestFit="1" customWidth="1"/>
    <col min="22" max="22" width="11.5" customWidth="1"/>
    <col min="23" max="23" width="15.1640625" customWidth="1"/>
    <col min="24" max="24" width="18" customWidth="1"/>
    <col min="25" max="27" width="18" style="99" customWidth="1"/>
    <col min="29" max="29" width="74.33203125" bestFit="1" customWidth="1"/>
    <col min="30" max="30" width="13.33203125" customWidth="1"/>
    <col min="31" max="31" width="18.33203125" customWidth="1"/>
    <col min="32" max="32" width="19.33203125" customWidth="1"/>
    <col min="33" max="33" width="24.5" customWidth="1"/>
    <col min="34" max="34" width="22.1640625" bestFit="1" customWidth="1"/>
  </cols>
  <sheetData>
    <row r="2" spans="2:33" ht="15.95" customHeight="1" x14ac:dyDescent="0.3">
      <c r="B2" s="122" t="s">
        <v>80</v>
      </c>
    </row>
    <row r="3" spans="2:33" ht="15.95" customHeight="1" x14ac:dyDescent="0.3">
      <c r="AC3" s="56" t="s">
        <v>87</v>
      </c>
    </row>
    <row r="5" spans="2:33" ht="15.95" customHeight="1" x14ac:dyDescent="0.3">
      <c r="B5" s="56" t="s">
        <v>85</v>
      </c>
      <c r="U5" s="56" t="s">
        <v>84</v>
      </c>
      <c r="AC5" s="37" t="s">
        <v>58</v>
      </c>
      <c r="AD5" t="s">
        <v>66</v>
      </c>
    </row>
    <row r="6" spans="2:33" ht="15.95" customHeight="1" thickBot="1" x14ac:dyDescent="0.25">
      <c r="AA6" s="114"/>
    </row>
    <row r="7" spans="2:33" ht="15.95" customHeight="1" thickBot="1" x14ac:dyDescent="0.25">
      <c r="B7" s="27" t="s">
        <v>0</v>
      </c>
      <c r="C7" s="27" t="s">
        <v>58</v>
      </c>
      <c r="D7" s="27" t="s">
        <v>1</v>
      </c>
      <c r="E7" s="28" t="s">
        <v>2</v>
      </c>
      <c r="F7" s="29">
        <v>46053</v>
      </c>
      <c r="G7" s="29">
        <v>46081</v>
      </c>
      <c r="H7" s="29">
        <v>46112</v>
      </c>
      <c r="I7" s="29">
        <v>46142</v>
      </c>
      <c r="J7" s="29">
        <v>46173</v>
      </c>
      <c r="K7" s="29">
        <v>46203</v>
      </c>
      <c r="L7" s="29">
        <v>46234</v>
      </c>
      <c r="M7" s="29">
        <v>46265</v>
      </c>
      <c r="N7" s="29">
        <v>46295</v>
      </c>
      <c r="O7" s="29">
        <v>46326</v>
      </c>
      <c r="P7" s="29">
        <v>46356</v>
      </c>
      <c r="Q7" s="29">
        <v>46387</v>
      </c>
      <c r="R7" s="119"/>
      <c r="S7" s="109" t="s">
        <v>81</v>
      </c>
      <c r="T7" s="31"/>
      <c r="U7" s="28" t="s">
        <v>1</v>
      </c>
      <c r="V7" s="28" t="s">
        <v>58</v>
      </c>
      <c r="W7" s="36" t="s">
        <v>64</v>
      </c>
      <c r="X7" s="36" t="s">
        <v>65</v>
      </c>
      <c r="Y7" s="114"/>
      <c r="Z7" s="114"/>
      <c r="AC7" s="37" t="s">
        <v>68</v>
      </c>
      <c r="AD7" t="s">
        <v>67</v>
      </c>
      <c r="AE7" t="s">
        <v>68</v>
      </c>
      <c r="AF7" t="s">
        <v>82</v>
      </c>
      <c r="AG7" t="s">
        <v>83</v>
      </c>
    </row>
    <row r="8" spans="2:33" ht="54" x14ac:dyDescent="0.2">
      <c r="B8" s="23" t="s">
        <v>3</v>
      </c>
      <c r="C8" s="24" t="s">
        <v>59</v>
      </c>
      <c r="D8" s="24" t="s">
        <v>4</v>
      </c>
      <c r="E8" s="24" t="s">
        <v>34</v>
      </c>
      <c r="F8" s="104">
        <v>151902</v>
      </c>
      <c r="G8" s="104">
        <v>50727</v>
      </c>
      <c r="H8" s="104">
        <v>175830</v>
      </c>
      <c r="I8" s="104">
        <v>172017</v>
      </c>
      <c r="J8" s="104">
        <v>210289</v>
      </c>
      <c r="K8" s="104">
        <v>169129</v>
      </c>
      <c r="L8" s="104">
        <v>28845</v>
      </c>
      <c r="M8" s="104">
        <v>39741</v>
      </c>
      <c r="N8" s="104"/>
      <c r="O8" s="104"/>
      <c r="P8" s="104"/>
      <c r="Q8" s="105"/>
      <c r="R8" s="118"/>
      <c r="S8" s="116">
        <f>SUM(F8:Q8)</f>
        <v>998480</v>
      </c>
      <c r="U8" s="33" t="s">
        <v>4</v>
      </c>
      <c r="V8" s="33" t="s">
        <v>59</v>
      </c>
      <c r="W8" s="32">
        <v>46053</v>
      </c>
      <c r="X8" s="41">
        <v>151902</v>
      </c>
      <c r="Y8" s="115"/>
      <c r="Z8" s="115"/>
      <c r="AA8" s="115"/>
      <c r="AC8" s="40" t="s">
        <v>4</v>
      </c>
      <c r="AD8" s="38">
        <v>998480</v>
      </c>
      <c r="AE8" s="121">
        <v>998480</v>
      </c>
      <c r="AF8" s="39">
        <v>1</v>
      </c>
      <c r="AG8" s="43"/>
    </row>
    <row r="9" spans="2:33" ht="15.95" customHeight="1" x14ac:dyDescent="0.2">
      <c r="B9" s="25" t="s">
        <v>32</v>
      </c>
      <c r="C9" s="26" t="s">
        <v>60</v>
      </c>
      <c r="D9" s="30" t="s">
        <v>33</v>
      </c>
      <c r="E9" s="30" t="s">
        <v>35</v>
      </c>
      <c r="F9" s="106">
        <v>5252</v>
      </c>
      <c r="G9" s="106">
        <v>7084</v>
      </c>
      <c r="H9" s="106">
        <v>7262</v>
      </c>
      <c r="I9" s="106">
        <v>5243</v>
      </c>
      <c r="J9" s="106">
        <v>4215</v>
      </c>
      <c r="K9" s="106">
        <v>3141</v>
      </c>
      <c r="L9" s="106">
        <v>1639</v>
      </c>
      <c r="M9" s="107"/>
      <c r="N9" s="107"/>
      <c r="O9" s="107"/>
      <c r="P9" s="107"/>
      <c r="Q9" s="108"/>
      <c r="R9" s="120"/>
      <c r="S9" s="117">
        <f>SUM(F9:Q9)</f>
        <v>33836</v>
      </c>
      <c r="U9" s="35" t="s">
        <v>4</v>
      </c>
      <c r="V9" s="35" t="s">
        <v>59</v>
      </c>
      <c r="W9" s="34">
        <v>46081</v>
      </c>
      <c r="X9" s="42">
        <v>50727</v>
      </c>
      <c r="Y9" s="115"/>
      <c r="Z9" s="115"/>
      <c r="AA9" s="115"/>
      <c r="AC9" s="44">
        <v>46053</v>
      </c>
      <c r="AD9" s="38">
        <v>151902</v>
      </c>
      <c r="AE9" s="103">
        <v>151902</v>
      </c>
      <c r="AF9" s="39">
        <v>0.15213324252864355</v>
      </c>
      <c r="AG9" s="43"/>
    </row>
    <row r="10" spans="2:33" ht="15.95" customHeight="1" x14ac:dyDescent="0.2">
      <c r="B10" s="25" t="s">
        <v>29</v>
      </c>
      <c r="C10" s="26" t="s">
        <v>59</v>
      </c>
      <c r="D10" s="30" t="s">
        <v>30</v>
      </c>
      <c r="E10" s="30" t="s">
        <v>31</v>
      </c>
      <c r="F10" s="106">
        <v>1505</v>
      </c>
      <c r="G10" s="106">
        <v>1224</v>
      </c>
      <c r="H10" s="106">
        <v>1970</v>
      </c>
      <c r="I10" s="106">
        <v>1546</v>
      </c>
      <c r="J10" s="106">
        <v>1667</v>
      </c>
      <c r="K10" s="106">
        <v>1518</v>
      </c>
      <c r="L10" s="106">
        <v>825</v>
      </c>
      <c r="M10" s="106">
        <v>792</v>
      </c>
      <c r="N10" s="107"/>
      <c r="O10" s="107"/>
      <c r="P10" s="107"/>
      <c r="Q10" s="108"/>
      <c r="R10" s="120"/>
      <c r="S10" s="117">
        <f>SUM(F10:Q10)</f>
        <v>11047</v>
      </c>
      <c r="U10" s="35" t="s">
        <v>4</v>
      </c>
      <c r="V10" s="35" t="s">
        <v>59</v>
      </c>
      <c r="W10" s="34">
        <v>46112</v>
      </c>
      <c r="X10" s="42">
        <v>175830</v>
      </c>
      <c r="Y10" s="115"/>
      <c r="Z10" s="115"/>
      <c r="AA10" s="115"/>
      <c r="AC10" s="44">
        <v>46081</v>
      </c>
      <c r="AD10" s="38">
        <v>50727</v>
      </c>
      <c r="AE10" s="103">
        <v>50727</v>
      </c>
      <c r="AF10" s="39">
        <v>5.0804222418075473E-2</v>
      </c>
      <c r="AG10" s="43">
        <v>-0.66605442982975871</v>
      </c>
    </row>
    <row r="11" spans="2:33" ht="15.95" customHeight="1" x14ac:dyDescent="0.2">
      <c r="U11" s="35" t="s">
        <v>4</v>
      </c>
      <c r="V11" s="35" t="s">
        <v>59</v>
      </c>
      <c r="W11" s="34">
        <v>46142</v>
      </c>
      <c r="X11" s="42">
        <v>172017</v>
      </c>
      <c r="Y11" s="115"/>
      <c r="Z11" s="115"/>
      <c r="AA11" s="115"/>
      <c r="AC11" s="44">
        <v>46112</v>
      </c>
      <c r="AD11" s="38">
        <v>175830</v>
      </c>
      <c r="AE11" s="103">
        <v>175830</v>
      </c>
      <c r="AF11" s="39">
        <v>0.17609766845605321</v>
      </c>
      <c r="AG11" s="43">
        <v>2.4662014311904903</v>
      </c>
    </row>
    <row r="12" spans="2:33" ht="15.95" customHeight="1" x14ac:dyDescent="0.2">
      <c r="U12" s="35" t="s">
        <v>4</v>
      </c>
      <c r="V12" s="35" t="s">
        <v>59</v>
      </c>
      <c r="W12" s="34">
        <v>46173</v>
      </c>
      <c r="X12" s="42">
        <v>210289</v>
      </c>
      <c r="Y12" s="115"/>
      <c r="Z12" s="115"/>
      <c r="AA12" s="115"/>
      <c r="AC12" s="44">
        <v>46142</v>
      </c>
      <c r="AD12" s="38">
        <v>172017</v>
      </c>
      <c r="AE12" s="103">
        <v>172017</v>
      </c>
      <c r="AF12" s="39">
        <v>0.17227886387308708</v>
      </c>
      <c r="AG12" s="43">
        <v>-2.1685719160552806E-2</v>
      </c>
    </row>
    <row r="13" spans="2:33" ht="12" x14ac:dyDescent="0.2">
      <c r="C13" s="78"/>
      <c r="D13" s="78"/>
      <c r="E13" s="78"/>
      <c r="F13" s="78"/>
      <c r="G13" s="79"/>
      <c r="H13" s="78"/>
      <c r="I13" s="78"/>
      <c r="J13" s="78"/>
      <c r="K13" s="78"/>
      <c r="L13" s="78"/>
      <c r="U13" s="35" t="s">
        <v>4</v>
      </c>
      <c r="V13" s="35" t="s">
        <v>59</v>
      </c>
      <c r="W13" s="34">
        <v>46203</v>
      </c>
      <c r="X13" s="42">
        <v>169129</v>
      </c>
      <c r="Y13" s="115"/>
      <c r="Z13" s="115"/>
      <c r="AA13" s="115"/>
      <c r="AC13" s="44">
        <v>46173</v>
      </c>
      <c r="AD13" s="38">
        <v>210289</v>
      </c>
      <c r="AE13" s="103">
        <v>210289</v>
      </c>
      <c r="AF13" s="39">
        <v>0.21060912587132441</v>
      </c>
      <c r="AG13" s="43">
        <v>0.22248963765209254</v>
      </c>
    </row>
    <row r="14" spans="2:33" ht="15.95" customHeight="1" x14ac:dyDescent="0.2">
      <c r="C14" s="78"/>
      <c r="D14" s="80"/>
      <c r="E14" s="81"/>
      <c r="F14" s="78"/>
      <c r="G14" s="82"/>
      <c r="H14" s="78"/>
      <c r="I14" s="78"/>
      <c r="J14" s="78"/>
      <c r="K14" s="78"/>
      <c r="L14" s="78"/>
      <c r="U14" s="35" t="s">
        <v>4</v>
      </c>
      <c r="V14" s="35" t="s">
        <v>59</v>
      </c>
      <c r="W14" s="34">
        <v>46234</v>
      </c>
      <c r="X14" s="42">
        <v>28845</v>
      </c>
      <c r="Y14" s="115"/>
      <c r="Z14" s="115"/>
      <c r="AA14" s="115"/>
      <c r="AC14" s="44">
        <v>46203</v>
      </c>
      <c r="AD14" s="38">
        <v>169129</v>
      </c>
      <c r="AE14" s="103">
        <v>169129</v>
      </c>
      <c r="AF14" s="39">
        <v>0.16938646743049435</v>
      </c>
      <c r="AG14" s="43">
        <v>-0.19573063736096516</v>
      </c>
    </row>
    <row r="15" spans="2:33" ht="15.95" customHeight="1" x14ac:dyDescent="0.2">
      <c r="C15" s="78"/>
      <c r="D15" s="80"/>
      <c r="E15" s="81"/>
      <c r="F15" s="78"/>
      <c r="G15" s="82"/>
      <c r="H15" s="78"/>
      <c r="I15" s="78"/>
      <c r="J15" s="78"/>
      <c r="K15" s="78"/>
      <c r="L15" s="78"/>
      <c r="U15" s="35" t="s">
        <v>4</v>
      </c>
      <c r="V15" s="35" t="s">
        <v>59</v>
      </c>
      <c r="W15" s="34">
        <v>46265</v>
      </c>
      <c r="X15" s="42">
        <v>39741</v>
      </c>
      <c r="Y15" s="115"/>
      <c r="Z15" s="115"/>
      <c r="AA15" s="115"/>
      <c r="AC15" s="44">
        <v>46234</v>
      </c>
      <c r="AD15" s="38">
        <v>28845</v>
      </c>
      <c r="AE15" s="103">
        <v>28845</v>
      </c>
      <c r="AF15" s="39">
        <v>2.888891114494031E-2</v>
      </c>
      <c r="AG15" s="43">
        <v>-0.82944970998468626</v>
      </c>
    </row>
    <row r="16" spans="2:33" ht="12" x14ac:dyDescent="0.2">
      <c r="F16" s="78"/>
      <c r="G16" s="82"/>
      <c r="H16" s="78"/>
      <c r="I16" s="78"/>
      <c r="J16" s="78"/>
      <c r="K16" s="78"/>
      <c r="L16" s="78"/>
      <c r="U16" s="35" t="s">
        <v>4</v>
      </c>
      <c r="V16" s="35" t="s">
        <v>59</v>
      </c>
      <c r="W16" s="34">
        <v>46295</v>
      </c>
      <c r="X16" s="42">
        <v>0</v>
      </c>
      <c r="Y16" s="115"/>
      <c r="Z16" s="115"/>
      <c r="AA16" s="115"/>
      <c r="AC16" s="44">
        <v>46265</v>
      </c>
      <c r="AD16" s="38">
        <v>39741</v>
      </c>
      <c r="AE16" s="103">
        <v>39741</v>
      </c>
      <c r="AF16" s="39">
        <v>3.9801498277381622E-2</v>
      </c>
      <c r="AG16" s="43">
        <v>0.37774310972438896</v>
      </c>
    </row>
    <row r="17" spans="2:33" ht="15.95" customHeight="1" x14ac:dyDescent="0.2">
      <c r="F17" s="78"/>
      <c r="G17" s="82"/>
      <c r="H17" s="84"/>
      <c r="I17" s="78"/>
      <c r="J17" s="78"/>
      <c r="K17" s="78"/>
      <c r="L17" s="78"/>
      <c r="U17" s="35" t="s">
        <v>4</v>
      </c>
      <c r="V17" s="35" t="s">
        <v>59</v>
      </c>
      <c r="W17" s="34">
        <v>46326</v>
      </c>
      <c r="X17" s="42">
        <v>0</v>
      </c>
      <c r="Y17" s="115"/>
      <c r="Z17" s="115"/>
      <c r="AA17" s="115"/>
      <c r="AC17" s="44">
        <v>46295</v>
      </c>
      <c r="AD17" s="38">
        <v>0</v>
      </c>
      <c r="AE17" s="103">
        <v>0</v>
      </c>
      <c r="AF17" s="39">
        <v>0</v>
      </c>
      <c r="AG17" s="43">
        <v>-1</v>
      </c>
    </row>
    <row r="18" spans="2:33" ht="15.95" customHeight="1" x14ac:dyDescent="0.2">
      <c r="I18" s="78"/>
      <c r="J18" s="78"/>
      <c r="K18" s="78"/>
      <c r="L18" s="78"/>
      <c r="U18" s="35" t="s">
        <v>4</v>
      </c>
      <c r="V18" s="35" t="s">
        <v>59</v>
      </c>
      <c r="W18" s="34">
        <v>46356</v>
      </c>
      <c r="X18" s="42">
        <v>0</v>
      </c>
      <c r="Y18" s="115"/>
      <c r="Z18" s="115"/>
      <c r="AA18" s="115"/>
      <c r="AC18" s="44">
        <v>46326</v>
      </c>
      <c r="AD18" s="38">
        <v>0</v>
      </c>
      <c r="AE18" s="103">
        <v>0</v>
      </c>
      <c r="AF18" s="39">
        <v>0</v>
      </c>
      <c r="AG18" s="43" t="e">
        <v>#DIV/0!</v>
      </c>
    </row>
    <row r="19" spans="2:33" ht="15.95" customHeight="1" x14ac:dyDescent="0.2">
      <c r="I19" s="78"/>
      <c r="J19" s="78"/>
      <c r="K19" s="78"/>
      <c r="L19" s="78"/>
      <c r="U19" s="35" t="s">
        <v>4</v>
      </c>
      <c r="V19" s="35" t="s">
        <v>59</v>
      </c>
      <c r="W19" s="34">
        <v>46387</v>
      </c>
      <c r="X19" s="42">
        <v>0</v>
      </c>
      <c r="Y19" s="115"/>
      <c r="Z19" s="115"/>
      <c r="AA19" s="115"/>
      <c r="AC19" s="44">
        <v>46356</v>
      </c>
      <c r="AD19" s="38">
        <v>0</v>
      </c>
      <c r="AE19" s="103">
        <v>0</v>
      </c>
      <c r="AF19" s="39">
        <v>0</v>
      </c>
      <c r="AG19" s="43" t="e">
        <v>#DIV/0!</v>
      </c>
    </row>
    <row r="20" spans="2:33" ht="15.95" customHeight="1" x14ac:dyDescent="0.3">
      <c r="B20" s="56" t="s">
        <v>86</v>
      </c>
      <c r="I20" s="78"/>
      <c r="J20" s="78"/>
      <c r="K20" s="78"/>
      <c r="L20" s="78"/>
      <c r="U20" s="35" t="s">
        <v>33</v>
      </c>
      <c r="V20" s="35" t="s">
        <v>60</v>
      </c>
      <c r="W20" s="34">
        <v>46053</v>
      </c>
      <c r="X20" s="42">
        <v>5252</v>
      </c>
      <c r="Y20" s="115"/>
      <c r="Z20" s="115"/>
      <c r="AA20" s="115"/>
      <c r="AC20" s="44">
        <v>46387</v>
      </c>
      <c r="AD20" s="38">
        <v>0</v>
      </c>
      <c r="AE20" s="103">
        <v>0</v>
      </c>
      <c r="AF20" s="39">
        <v>0</v>
      </c>
      <c r="AG20" s="43" t="e">
        <v>#DIV/0!</v>
      </c>
    </row>
    <row r="21" spans="2:33" ht="12.75" thickBot="1" x14ac:dyDescent="0.25">
      <c r="I21" s="78"/>
      <c r="J21" s="78"/>
      <c r="K21" s="78"/>
      <c r="L21" s="78"/>
      <c r="U21" s="35" t="s">
        <v>33</v>
      </c>
      <c r="V21" s="35" t="s">
        <v>60</v>
      </c>
      <c r="W21" s="34">
        <v>46081</v>
      </c>
      <c r="X21" s="42">
        <v>7084</v>
      </c>
      <c r="Y21" s="115"/>
      <c r="Z21" s="115"/>
      <c r="AA21" s="115"/>
      <c r="AC21" s="40" t="s">
        <v>30</v>
      </c>
      <c r="AD21" s="38">
        <v>11047</v>
      </c>
      <c r="AE21" s="121">
        <v>11047</v>
      </c>
      <c r="AF21" s="39">
        <v>1</v>
      </c>
      <c r="AG21" s="43"/>
    </row>
    <row r="22" spans="2:33" ht="15.95" customHeight="1" thickBot="1" x14ac:dyDescent="0.25">
      <c r="B22" s="28" t="s">
        <v>64</v>
      </c>
      <c r="C22" s="28" t="s">
        <v>4</v>
      </c>
      <c r="D22" s="28" t="s">
        <v>33</v>
      </c>
      <c r="E22" s="28" t="s">
        <v>30</v>
      </c>
      <c r="F22" s="78"/>
      <c r="G22" s="82"/>
      <c r="H22" s="78"/>
      <c r="I22" s="78"/>
      <c r="J22" s="78"/>
      <c r="K22" s="78"/>
      <c r="L22" s="78"/>
      <c r="U22" s="35" t="s">
        <v>33</v>
      </c>
      <c r="V22" s="35" t="s">
        <v>60</v>
      </c>
      <c r="W22" s="34">
        <v>46112</v>
      </c>
      <c r="X22" s="42">
        <v>7262</v>
      </c>
      <c r="Y22" s="115"/>
      <c r="Z22" s="115"/>
      <c r="AA22" s="115"/>
      <c r="AC22" s="44">
        <v>46053</v>
      </c>
      <c r="AD22" s="38">
        <v>1505</v>
      </c>
      <c r="AE22" s="103">
        <v>1505</v>
      </c>
      <c r="AF22" s="39">
        <v>0.13623608219426089</v>
      </c>
      <c r="AG22" s="43"/>
    </row>
    <row r="23" spans="2:33" ht="15.95" customHeight="1" x14ac:dyDescent="0.25">
      <c r="B23" s="110">
        <v>46053</v>
      </c>
      <c r="C23" s="111">
        <v>151902</v>
      </c>
      <c r="D23" s="111">
        <v>5252</v>
      </c>
      <c r="E23" s="111">
        <v>1505</v>
      </c>
      <c r="F23" s="78"/>
      <c r="G23" s="82"/>
      <c r="H23" s="78"/>
      <c r="I23" s="78"/>
      <c r="J23" s="78"/>
      <c r="K23" s="78"/>
      <c r="L23" s="78"/>
      <c r="U23" s="35" t="s">
        <v>33</v>
      </c>
      <c r="V23" s="35" t="s">
        <v>60</v>
      </c>
      <c r="W23" s="34">
        <v>46142</v>
      </c>
      <c r="X23" s="42">
        <v>5243</v>
      </c>
      <c r="Y23" s="115"/>
      <c r="Z23" s="115"/>
      <c r="AA23" s="115"/>
      <c r="AC23" s="44">
        <v>46081</v>
      </c>
      <c r="AD23" s="38">
        <v>1224</v>
      </c>
      <c r="AE23" s="103">
        <v>1224</v>
      </c>
      <c r="AF23" s="39">
        <v>0.1107993120304155</v>
      </c>
      <c r="AG23" s="43">
        <v>-0.18671096345514951</v>
      </c>
    </row>
    <row r="24" spans="2:33" ht="15.95" customHeight="1" x14ac:dyDescent="0.25">
      <c r="B24" s="112">
        <v>46081</v>
      </c>
      <c r="C24" s="113">
        <v>50727</v>
      </c>
      <c r="D24" s="113">
        <v>7084</v>
      </c>
      <c r="E24" s="113">
        <v>1224</v>
      </c>
      <c r="F24" s="78"/>
      <c r="G24" s="82"/>
      <c r="H24" s="78"/>
      <c r="I24" s="78"/>
      <c r="J24" s="78"/>
      <c r="K24" s="78"/>
      <c r="L24" s="78"/>
      <c r="U24" s="35" t="s">
        <v>33</v>
      </c>
      <c r="V24" s="35" t="s">
        <v>60</v>
      </c>
      <c r="W24" s="34">
        <v>46173</v>
      </c>
      <c r="X24" s="42">
        <v>4215</v>
      </c>
      <c r="Y24" s="115"/>
      <c r="Z24" s="115"/>
      <c r="AA24" s="115"/>
      <c r="AC24" s="44">
        <v>46112</v>
      </c>
      <c r="AD24" s="38">
        <v>1970</v>
      </c>
      <c r="AE24" s="103">
        <v>1970</v>
      </c>
      <c r="AF24" s="39">
        <v>0.17832895808816873</v>
      </c>
      <c r="AG24" s="43">
        <v>0.60947712418300659</v>
      </c>
    </row>
    <row r="25" spans="2:33" ht="15.95" customHeight="1" x14ac:dyDescent="0.25">
      <c r="B25" s="112">
        <v>46112</v>
      </c>
      <c r="C25" s="113">
        <v>175830</v>
      </c>
      <c r="D25" s="113">
        <v>7262</v>
      </c>
      <c r="E25" s="113">
        <v>1970</v>
      </c>
      <c r="F25" s="78"/>
      <c r="G25" s="82"/>
      <c r="H25" s="78"/>
      <c r="I25" s="78"/>
      <c r="J25" s="78"/>
      <c r="K25" s="78"/>
      <c r="L25" s="78"/>
      <c r="U25" s="35" t="s">
        <v>33</v>
      </c>
      <c r="V25" s="35" t="s">
        <v>60</v>
      </c>
      <c r="W25" s="34">
        <v>46203</v>
      </c>
      <c r="X25" s="42">
        <v>3141</v>
      </c>
      <c r="Y25" s="115"/>
      <c r="Z25" s="115"/>
      <c r="AA25" s="115"/>
      <c r="AC25" s="44">
        <v>46142</v>
      </c>
      <c r="AD25" s="38">
        <v>1546</v>
      </c>
      <c r="AE25" s="103">
        <v>1546</v>
      </c>
      <c r="AF25" s="39">
        <v>0.13994749705802481</v>
      </c>
      <c r="AG25" s="43">
        <v>-0.21522842639593909</v>
      </c>
    </row>
    <row r="26" spans="2:33" ht="15.95" customHeight="1" x14ac:dyDescent="0.25">
      <c r="B26" s="112">
        <v>46142</v>
      </c>
      <c r="C26" s="113">
        <v>172017</v>
      </c>
      <c r="D26" s="113">
        <v>5243</v>
      </c>
      <c r="E26" s="113">
        <v>1546</v>
      </c>
      <c r="F26" s="78"/>
      <c r="G26" s="82"/>
      <c r="H26" s="78"/>
      <c r="I26" s="78"/>
      <c r="J26" s="78"/>
      <c r="K26" s="78"/>
      <c r="L26" s="78"/>
      <c r="U26" s="35" t="s">
        <v>33</v>
      </c>
      <c r="V26" s="35" t="s">
        <v>60</v>
      </c>
      <c r="W26" s="34">
        <v>46234</v>
      </c>
      <c r="X26" s="42">
        <v>1639</v>
      </c>
      <c r="Y26" s="115"/>
      <c r="Z26" s="115"/>
      <c r="AA26" s="115"/>
      <c r="AC26" s="44">
        <v>46173</v>
      </c>
      <c r="AD26" s="38">
        <v>1667</v>
      </c>
      <c r="AE26" s="103">
        <v>1667</v>
      </c>
      <c r="AF26" s="39">
        <v>0.15090069702181588</v>
      </c>
      <c r="AG26" s="43">
        <v>7.8266494178525228E-2</v>
      </c>
    </row>
    <row r="27" spans="2:33" ht="15.95" customHeight="1" x14ac:dyDescent="0.25">
      <c r="B27" s="112">
        <v>46173</v>
      </c>
      <c r="C27" s="113">
        <v>210289</v>
      </c>
      <c r="D27" s="113">
        <v>4215</v>
      </c>
      <c r="E27" s="113">
        <v>1667</v>
      </c>
      <c r="F27" s="78"/>
      <c r="G27" s="82"/>
      <c r="H27" s="78"/>
      <c r="I27" s="78"/>
      <c r="J27" s="78"/>
      <c r="K27" s="78"/>
      <c r="L27" s="78"/>
      <c r="U27" s="35" t="s">
        <v>33</v>
      </c>
      <c r="V27" s="35" t="s">
        <v>60</v>
      </c>
      <c r="W27" s="34">
        <v>46265</v>
      </c>
      <c r="X27" s="42">
        <v>0</v>
      </c>
      <c r="Y27" s="115"/>
      <c r="Z27" s="115"/>
      <c r="AA27" s="115"/>
      <c r="AC27" s="44">
        <v>46203</v>
      </c>
      <c r="AD27" s="38">
        <v>1518</v>
      </c>
      <c r="AE27" s="103">
        <v>1518</v>
      </c>
      <c r="AF27" s="39">
        <v>0.1374128722730153</v>
      </c>
      <c r="AG27" s="43">
        <v>-8.9382123575284939E-2</v>
      </c>
    </row>
    <row r="28" spans="2:33" ht="15.95" customHeight="1" x14ac:dyDescent="0.25">
      <c r="B28" s="112">
        <v>46203</v>
      </c>
      <c r="C28" s="113">
        <v>169129</v>
      </c>
      <c r="D28" s="113">
        <v>3141</v>
      </c>
      <c r="E28" s="113">
        <v>1518</v>
      </c>
      <c r="F28" s="78"/>
      <c r="G28" s="82"/>
      <c r="H28" s="78"/>
      <c r="I28" s="78"/>
      <c r="J28" s="78"/>
      <c r="K28" s="78"/>
      <c r="L28" s="78"/>
      <c r="U28" s="35" t="s">
        <v>33</v>
      </c>
      <c r="V28" s="35" t="s">
        <v>60</v>
      </c>
      <c r="W28" s="34">
        <v>46295</v>
      </c>
      <c r="X28" s="42">
        <v>0</v>
      </c>
      <c r="Y28" s="115"/>
      <c r="Z28" s="115"/>
      <c r="AA28" s="115"/>
      <c r="AC28" s="44">
        <v>46234</v>
      </c>
      <c r="AD28" s="38">
        <v>825</v>
      </c>
      <c r="AE28" s="103">
        <v>825</v>
      </c>
      <c r="AF28" s="39">
        <v>7.4680908844030058E-2</v>
      </c>
      <c r="AG28" s="43">
        <v>-0.45652173913043476</v>
      </c>
    </row>
    <row r="29" spans="2:33" ht="15.95" customHeight="1" x14ac:dyDescent="0.25">
      <c r="B29" s="112">
        <v>46234</v>
      </c>
      <c r="C29" s="113">
        <v>28845</v>
      </c>
      <c r="D29" s="113">
        <v>1639</v>
      </c>
      <c r="E29" s="113">
        <v>825</v>
      </c>
      <c r="F29" s="78"/>
      <c r="G29" s="82"/>
      <c r="H29" s="78"/>
      <c r="I29" s="78"/>
      <c r="J29" s="78"/>
      <c r="K29" s="78"/>
      <c r="L29" s="78"/>
      <c r="U29" s="35" t="s">
        <v>33</v>
      </c>
      <c r="V29" s="35" t="s">
        <v>60</v>
      </c>
      <c r="W29" s="34">
        <v>46326</v>
      </c>
      <c r="X29" s="42">
        <v>0</v>
      </c>
      <c r="Y29" s="115"/>
      <c r="Z29" s="115"/>
      <c r="AA29" s="115"/>
      <c r="AC29" s="44">
        <v>46265</v>
      </c>
      <c r="AD29" s="38">
        <v>792</v>
      </c>
      <c r="AE29" s="103">
        <v>792</v>
      </c>
      <c r="AF29" s="39">
        <v>7.1693672490268853E-2</v>
      </c>
      <c r="AG29" s="43">
        <v>-0.04</v>
      </c>
    </row>
    <row r="30" spans="2:33" ht="15.95" customHeight="1" x14ac:dyDescent="0.25">
      <c r="B30" s="112">
        <v>46265</v>
      </c>
      <c r="C30" s="113">
        <v>39741</v>
      </c>
      <c r="D30" s="113">
        <v>0</v>
      </c>
      <c r="E30" s="113">
        <v>792</v>
      </c>
      <c r="F30" s="78"/>
      <c r="G30" s="82"/>
      <c r="H30" s="78"/>
      <c r="I30" s="78"/>
      <c r="J30" s="78"/>
      <c r="K30" s="78"/>
      <c r="L30" s="78"/>
      <c r="U30" s="35" t="s">
        <v>33</v>
      </c>
      <c r="V30" s="35" t="s">
        <v>60</v>
      </c>
      <c r="W30" s="34">
        <v>46356</v>
      </c>
      <c r="X30" s="42">
        <v>0</v>
      </c>
      <c r="Y30" s="115"/>
      <c r="Z30" s="115"/>
      <c r="AA30" s="115"/>
      <c r="AC30" s="44">
        <v>46295</v>
      </c>
      <c r="AD30" s="38">
        <v>0</v>
      </c>
      <c r="AE30" s="103">
        <v>0</v>
      </c>
      <c r="AF30" s="39">
        <v>0</v>
      </c>
      <c r="AG30" s="43">
        <v>-1</v>
      </c>
    </row>
    <row r="31" spans="2:33" ht="15.95" customHeight="1" x14ac:dyDescent="0.25">
      <c r="B31" s="112">
        <v>46295</v>
      </c>
      <c r="C31" s="113">
        <v>0</v>
      </c>
      <c r="D31" s="113">
        <v>0</v>
      </c>
      <c r="E31" s="113">
        <v>0</v>
      </c>
      <c r="F31" s="78"/>
      <c r="G31" s="82"/>
      <c r="H31" s="78"/>
      <c r="I31" s="78"/>
      <c r="J31" s="78"/>
      <c r="K31" s="78"/>
      <c r="L31" s="78"/>
      <c r="U31" s="35" t="s">
        <v>33</v>
      </c>
      <c r="V31" s="35" t="s">
        <v>60</v>
      </c>
      <c r="W31" s="34">
        <v>46387</v>
      </c>
      <c r="X31" s="42">
        <v>0</v>
      </c>
      <c r="Y31" s="115"/>
      <c r="Z31" s="115"/>
      <c r="AA31" s="115"/>
      <c r="AC31" s="44">
        <v>46326</v>
      </c>
      <c r="AD31" s="38">
        <v>0</v>
      </c>
      <c r="AE31" s="103">
        <v>0</v>
      </c>
      <c r="AF31" s="39">
        <v>0</v>
      </c>
      <c r="AG31" s="43" t="e">
        <v>#DIV/0!</v>
      </c>
    </row>
    <row r="32" spans="2:33" ht="15.95" customHeight="1" x14ac:dyDescent="0.25">
      <c r="B32" s="112">
        <v>46326</v>
      </c>
      <c r="C32" s="113">
        <v>0</v>
      </c>
      <c r="D32" s="113">
        <v>0</v>
      </c>
      <c r="E32" s="113">
        <v>0</v>
      </c>
      <c r="F32" s="78"/>
      <c r="G32" s="82"/>
      <c r="H32" s="78"/>
      <c r="I32" s="78"/>
      <c r="J32" s="78"/>
      <c r="K32" s="78"/>
      <c r="L32" s="78"/>
      <c r="U32" s="35" t="s">
        <v>30</v>
      </c>
      <c r="V32" s="35" t="s">
        <v>59</v>
      </c>
      <c r="W32" s="34">
        <v>46053</v>
      </c>
      <c r="X32" s="42">
        <v>1505</v>
      </c>
      <c r="Y32" s="115"/>
      <c r="Z32" s="115"/>
      <c r="AA32" s="115"/>
      <c r="AC32" s="44">
        <v>46356</v>
      </c>
      <c r="AD32" s="38">
        <v>0</v>
      </c>
      <c r="AE32" s="103">
        <v>0</v>
      </c>
      <c r="AF32" s="39">
        <v>0</v>
      </c>
      <c r="AG32" s="43" t="e">
        <v>#DIV/0!</v>
      </c>
    </row>
    <row r="33" spans="2:33" ht="15.95" customHeight="1" x14ac:dyDescent="0.25">
      <c r="B33" s="112">
        <v>46356</v>
      </c>
      <c r="C33" s="113">
        <v>0</v>
      </c>
      <c r="D33" s="113">
        <v>0</v>
      </c>
      <c r="E33" s="113">
        <v>0</v>
      </c>
      <c r="F33" s="78"/>
      <c r="G33" s="82"/>
      <c r="H33" s="78"/>
      <c r="I33" s="78"/>
      <c r="J33" s="78"/>
      <c r="K33" s="78"/>
      <c r="L33" s="78"/>
      <c r="U33" s="35" t="s">
        <v>30</v>
      </c>
      <c r="V33" s="35" t="s">
        <v>59</v>
      </c>
      <c r="W33" s="34">
        <v>46081</v>
      </c>
      <c r="X33" s="42">
        <v>1224</v>
      </c>
      <c r="Y33" s="115"/>
      <c r="Z33" s="115"/>
      <c r="AA33" s="115"/>
      <c r="AC33" s="44">
        <v>46387</v>
      </c>
      <c r="AD33" s="38">
        <v>0</v>
      </c>
      <c r="AE33" s="103">
        <v>0</v>
      </c>
      <c r="AF33" s="39">
        <v>0</v>
      </c>
      <c r="AG33" s="43" t="e">
        <v>#DIV/0!</v>
      </c>
    </row>
    <row r="34" spans="2:33" ht="13.5" x14ac:dyDescent="0.25">
      <c r="B34" s="112">
        <v>46387</v>
      </c>
      <c r="C34" s="113">
        <v>0</v>
      </c>
      <c r="D34" s="113">
        <v>0</v>
      </c>
      <c r="E34" s="113">
        <v>0</v>
      </c>
      <c r="F34" s="78"/>
      <c r="G34" s="82"/>
      <c r="H34" s="78"/>
      <c r="I34" s="78"/>
      <c r="J34" s="78"/>
      <c r="K34" s="78"/>
      <c r="L34" s="78"/>
      <c r="U34" s="35" t="s">
        <v>30</v>
      </c>
      <c r="V34" s="35" t="s">
        <v>59</v>
      </c>
      <c r="W34" s="34">
        <v>46112</v>
      </c>
      <c r="X34" s="42">
        <v>1970</v>
      </c>
      <c r="Y34" s="115"/>
      <c r="Z34" s="115"/>
      <c r="AA34" s="115"/>
      <c r="AC34" s="40" t="s">
        <v>33</v>
      </c>
      <c r="AD34" s="38">
        <v>33836</v>
      </c>
      <c r="AE34" s="121">
        <v>33836</v>
      </c>
      <c r="AF34" s="39">
        <v>1</v>
      </c>
      <c r="AG34" s="43"/>
    </row>
    <row r="35" spans="2:33" ht="15.95" customHeight="1" x14ac:dyDescent="0.2">
      <c r="C35" s="78"/>
      <c r="D35" s="80"/>
      <c r="E35" s="21"/>
      <c r="F35" s="78"/>
      <c r="G35" s="82"/>
      <c r="H35" s="78"/>
      <c r="I35" s="78"/>
      <c r="J35" s="78"/>
      <c r="K35" s="78"/>
      <c r="L35" s="78"/>
      <c r="U35" s="35" t="s">
        <v>30</v>
      </c>
      <c r="V35" s="35" t="s">
        <v>59</v>
      </c>
      <c r="W35" s="34">
        <v>46142</v>
      </c>
      <c r="X35" s="42">
        <v>1546</v>
      </c>
      <c r="Y35" s="115"/>
      <c r="Z35" s="115"/>
      <c r="AA35" s="115"/>
      <c r="AC35" s="44">
        <v>46053</v>
      </c>
      <c r="AD35" s="38">
        <v>5252</v>
      </c>
      <c r="AE35" s="103">
        <v>5252</v>
      </c>
      <c r="AF35" s="39">
        <v>0.15521929306064547</v>
      </c>
      <c r="AG35" s="43"/>
    </row>
    <row r="36" spans="2:33" ht="15.95" customHeight="1" x14ac:dyDescent="0.2">
      <c r="C36" s="78"/>
      <c r="D36" s="83"/>
      <c r="E36" s="21"/>
      <c r="F36" s="78"/>
      <c r="G36" s="82"/>
      <c r="H36" s="78"/>
      <c r="I36" s="78"/>
      <c r="J36" s="78"/>
      <c r="K36" s="78"/>
      <c r="L36" s="78"/>
      <c r="U36" s="35" t="s">
        <v>30</v>
      </c>
      <c r="V36" s="35" t="s">
        <v>59</v>
      </c>
      <c r="W36" s="34">
        <v>46173</v>
      </c>
      <c r="X36" s="42">
        <v>1667</v>
      </c>
      <c r="Y36" s="115"/>
      <c r="Z36" s="115"/>
      <c r="AA36" s="115"/>
      <c r="AC36" s="44">
        <v>46081</v>
      </c>
      <c r="AD36" s="38">
        <v>7084</v>
      </c>
      <c r="AE36" s="103">
        <v>7084</v>
      </c>
      <c r="AF36" s="39">
        <v>0.20936280884265279</v>
      </c>
      <c r="AG36" s="43">
        <v>0.3488194973343488</v>
      </c>
    </row>
    <row r="37" spans="2:33" ht="15.95" customHeight="1" x14ac:dyDescent="0.2">
      <c r="C37" s="78"/>
      <c r="D37" s="83"/>
      <c r="E37" s="85"/>
      <c r="F37" s="78"/>
      <c r="G37" s="82"/>
      <c r="H37" s="78"/>
      <c r="I37" s="78"/>
      <c r="J37" s="78"/>
      <c r="K37" s="78"/>
      <c r="L37" s="78"/>
      <c r="U37" s="35" t="s">
        <v>30</v>
      </c>
      <c r="V37" s="35" t="s">
        <v>59</v>
      </c>
      <c r="W37" s="34">
        <v>46203</v>
      </c>
      <c r="X37" s="42">
        <v>1518</v>
      </c>
      <c r="Y37" s="115"/>
      <c r="Z37" s="115"/>
      <c r="AA37" s="115"/>
      <c r="AC37" s="44">
        <v>46112</v>
      </c>
      <c r="AD37" s="38">
        <v>7262</v>
      </c>
      <c r="AE37" s="103">
        <v>7262</v>
      </c>
      <c r="AF37" s="39">
        <v>0.21462347795247666</v>
      </c>
      <c r="AG37" s="43">
        <v>2.51270468661773E-2</v>
      </c>
    </row>
    <row r="38" spans="2:33" ht="15.95" customHeight="1" x14ac:dyDescent="0.2">
      <c r="C38" s="78"/>
      <c r="D38" s="83"/>
      <c r="E38" s="21"/>
      <c r="F38" s="78"/>
      <c r="G38" s="82"/>
      <c r="H38" s="78"/>
      <c r="I38" s="78"/>
      <c r="J38" s="78"/>
      <c r="K38" s="78"/>
      <c r="L38" s="78"/>
      <c r="U38" s="35" t="s">
        <v>30</v>
      </c>
      <c r="V38" s="35" t="s">
        <v>59</v>
      </c>
      <c r="W38" s="34">
        <v>46234</v>
      </c>
      <c r="X38" s="42">
        <v>825</v>
      </c>
      <c r="Y38" s="115"/>
      <c r="Z38" s="115"/>
      <c r="AA38" s="115"/>
      <c r="AC38" s="44">
        <v>46142</v>
      </c>
      <c r="AD38" s="38">
        <v>5243</v>
      </c>
      <c r="AE38" s="103">
        <v>5243</v>
      </c>
      <c r="AF38" s="39">
        <v>0.1549533041730701</v>
      </c>
      <c r="AG38" s="43">
        <v>-0.27802258331038282</v>
      </c>
    </row>
    <row r="39" spans="2:33" ht="15.95" customHeight="1" x14ac:dyDescent="0.2">
      <c r="C39" s="78"/>
      <c r="D39" s="83"/>
      <c r="E39" s="21"/>
      <c r="F39" s="78"/>
      <c r="G39" s="82"/>
      <c r="H39" s="78"/>
      <c r="I39" s="78"/>
      <c r="J39" s="78"/>
      <c r="K39" s="78"/>
      <c r="L39" s="78"/>
      <c r="U39" s="35" t="s">
        <v>30</v>
      </c>
      <c r="V39" s="35" t="s">
        <v>59</v>
      </c>
      <c r="W39" s="34">
        <v>46265</v>
      </c>
      <c r="X39" s="42">
        <v>792</v>
      </c>
      <c r="Y39" s="115"/>
      <c r="Z39" s="115"/>
      <c r="AA39" s="115"/>
      <c r="AC39" s="44">
        <v>46173</v>
      </c>
      <c r="AD39" s="38">
        <v>4215</v>
      </c>
      <c r="AE39" s="103">
        <v>4215</v>
      </c>
      <c r="AF39" s="39">
        <v>0.12457146234779524</v>
      </c>
      <c r="AG39" s="43">
        <v>-0.19607095174518405</v>
      </c>
    </row>
    <row r="40" spans="2:33" ht="15.95" customHeight="1" x14ac:dyDescent="0.2">
      <c r="C40" s="78"/>
      <c r="D40" s="83"/>
      <c r="E40" s="85"/>
      <c r="F40" s="78"/>
      <c r="G40" s="82"/>
      <c r="H40" s="78"/>
      <c r="I40" s="78"/>
      <c r="J40" s="78"/>
      <c r="K40" s="78"/>
      <c r="L40" s="78"/>
      <c r="U40" s="35" t="s">
        <v>30</v>
      </c>
      <c r="V40" s="35" t="s">
        <v>59</v>
      </c>
      <c r="W40" s="34">
        <v>46295</v>
      </c>
      <c r="X40" s="42">
        <v>0</v>
      </c>
      <c r="Y40" s="115"/>
      <c r="Z40" s="115"/>
      <c r="AA40" s="115"/>
      <c r="AC40" s="44">
        <v>46203</v>
      </c>
      <c r="AD40" s="38">
        <v>3141</v>
      </c>
      <c r="AE40" s="103">
        <v>3141</v>
      </c>
      <c r="AF40" s="39">
        <v>9.2830121763801871E-2</v>
      </c>
      <c r="AG40" s="43">
        <v>-0.25480427046263343</v>
      </c>
    </row>
    <row r="41" spans="2:33" ht="15.95" customHeight="1" x14ac:dyDescent="0.2">
      <c r="C41" s="78"/>
      <c r="D41" s="83"/>
      <c r="E41" s="21"/>
      <c r="F41" s="78"/>
      <c r="G41" s="82"/>
      <c r="H41" s="78"/>
      <c r="I41" s="78"/>
      <c r="J41" s="78"/>
      <c r="K41" s="78"/>
      <c r="L41" s="78"/>
      <c r="U41" s="35" t="s">
        <v>30</v>
      </c>
      <c r="V41" s="35" t="s">
        <v>59</v>
      </c>
      <c r="W41" s="34">
        <v>46326</v>
      </c>
      <c r="X41" s="42">
        <v>0</v>
      </c>
      <c r="Y41" s="115"/>
      <c r="Z41" s="115"/>
      <c r="AA41" s="115"/>
      <c r="AC41" s="44">
        <v>46234</v>
      </c>
      <c r="AD41" s="38">
        <v>1639</v>
      </c>
      <c r="AE41" s="103">
        <v>1639</v>
      </c>
      <c r="AF41" s="39">
        <v>4.843953185955787E-2</v>
      </c>
      <c r="AG41" s="43">
        <v>-0.47819165870741803</v>
      </c>
    </row>
    <row r="42" spans="2:33" ht="15.95" customHeight="1" x14ac:dyDescent="0.2">
      <c r="C42" s="78"/>
      <c r="D42" s="83"/>
      <c r="E42" s="21"/>
      <c r="F42" s="78"/>
      <c r="G42" s="82"/>
      <c r="H42" s="78"/>
      <c r="I42" s="78"/>
      <c r="J42" s="78"/>
      <c r="K42" s="78"/>
      <c r="L42" s="78"/>
      <c r="U42" s="35" t="s">
        <v>30</v>
      </c>
      <c r="V42" s="35" t="s">
        <v>59</v>
      </c>
      <c r="W42" s="34">
        <v>46356</v>
      </c>
      <c r="X42" s="42">
        <v>0</v>
      </c>
      <c r="Y42" s="115"/>
      <c r="Z42" s="115"/>
      <c r="AA42" s="115"/>
      <c r="AC42" s="44">
        <v>46265</v>
      </c>
      <c r="AD42" s="38">
        <v>0</v>
      </c>
      <c r="AE42" s="103">
        <v>0</v>
      </c>
      <c r="AF42" s="39">
        <v>0</v>
      </c>
      <c r="AG42" s="43">
        <v>-1</v>
      </c>
    </row>
    <row r="43" spans="2:33" ht="15.95" customHeight="1" x14ac:dyDescent="0.2">
      <c r="C43" s="78"/>
      <c r="D43" s="83"/>
      <c r="E43" s="85"/>
      <c r="F43" s="78"/>
      <c r="G43" s="82"/>
      <c r="H43" s="78"/>
      <c r="I43" s="78"/>
      <c r="J43" s="78"/>
      <c r="K43" s="78"/>
      <c r="L43" s="78"/>
      <c r="U43" s="35" t="s">
        <v>30</v>
      </c>
      <c r="V43" s="35" t="s">
        <v>59</v>
      </c>
      <c r="W43" s="34">
        <v>46387</v>
      </c>
      <c r="X43" s="42">
        <v>0</v>
      </c>
      <c r="Y43" s="115"/>
      <c r="Z43" s="115"/>
      <c r="AA43" s="115"/>
      <c r="AC43" s="44">
        <v>46295</v>
      </c>
      <c r="AD43" s="38">
        <v>0</v>
      </c>
      <c r="AE43" s="103">
        <v>0</v>
      </c>
      <c r="AF43" s="39">
        <v>0</v>
      </c>
      <c r="AG43" s="43" t="e">
        <v>#DIV/0!</v>
      </c>
    </row>
    <row r="44" spans="2:33" ht="15.95" customHeight="1" x14ac:dyDescent="0.2">
      <c r="C44" s="78"/>
      <c r="D44" s="83"/>
      <c r="E44" s="21"/>
      <c r="F44" s="78"/>
      <c r="G44" s="82"/>
      <c r="H44" s="78"/>
      <c r="I44" s="78"/>
      <c r="J44" s="78"/>
      <c r="K44" s="78"/>
      <c r="L44" s="78"/>
      <c r="AC44" s="44">
        <v>46326</v>
      </c>
      <c r="AD44" s="38">
        <v>0</v>
      </c>
      <c r="AE44" s="103">
        <v>0</v>
      </c>
      <c r="AF44" s="39">
        <v>0</v>
      </c>
      <c r="AG44" s="43" t="e">
        <v>#DIV/0!</v>
      </c>
    </row>
    <row r="45" spans="2:33" ht="15.95" customHeight="1" x14ac:dyDescent="0.2">
      <c r="C45" s="78"/>
      <c r="D45" s="83"/>
      <c r="E45" s="21"/>
      <c r="F45" s="78"/>
      <c r="G45" s="82"/>
      <c r="H45" s="78"/>
      <c r="I45" s="78"/>
      <c r="J45" s="78"/>
      <c r="K45" s="78"/>
      <c r="L45" s="78"/>
      <c r="AC45" s="44">
        <v>46356</v>
      </c>
      <c r="AD45" s="38">
        <v>0</v>
      </c>
      <c r="AE45" s="103">
        <v>0</v>
      </c>
      <c r="AF45" s="39">
        <v>0</v>
      </c>
      <c r="AG45" s="43" t="e">
        <v>#DIV/0!</v>
      </c>
    </row>
    <row r="46" spans="2:33" ht="15.95" customHeight="1" x14ac:dyDescent="0.2">
      <c r="C46" s="78"/>
      <c r="D46" s="80"/>
      <c r="E46" s="21"/>
      <c r="F46" s="78"/>
      <c r="G46" s="82"/>
      <c r="H46" s="78"/>
      <c r="I46" s="78"/>
      <c r="J46" s="78"/>
      <c r="K46" s="78"/>
      <c r="L46" s="78"/>
      <c r="AC46" s="44">
        <v>46387</v>
      </c>
      <c r="AD46" s="38">
        <v>0</v>
      </c>
      <c r="AE46" s="103">
        <v>0</v>
      </c>
      <c r="AF46" s="39">
        <v>0</v>
      </c>
      <c r="AG46" s="43" t="e">
        <v>#DIV/0!</v>
      </c>
    </row>
    <row r="47" spans="2:33" ht="15.95" customHeight="1" x14ac:dyDescent="0.2">
      <c r="C47" s="78"/>
      <c r="D47" s="83"/>
      <c r="E47" s="21"/>
      <c r="F47" s="78"/>
      <c r="G47" s="82"/>
      <c r="H47" s="78"/>
      <c r="I47" s="78"/>
      <c r="J47" s="78"/>
      <c r="K47" s="78"/>
      <c r="L47" s="78"/>
    </row>
    <row r="48" spans="2:33" ht="15.95" customHeight="1" x14ac:dyDescent="0.2">
      <c r="C48" s="78"/>
      <c r="D48" s="83"/>
      <c r="E48" s="85"/>
      <c r="F48" s="78"/>
      <c r="G48" s="82"/>
      <c r="H48" s="78"/>
      <c r="I48" s="78"/>
      <c r="J48" s="78"/>
      <c r="K48" s="78"/>
      <c r="L48" s="78"/>
    </row>
    <row r="49" spans="3:12" ht="15.95" customHeight="1" x14ac:dyDescent="0.2">
      <c r="C49" s="78"/>
      <c r="D49" s="83"/>
      <c r="E49" s="21"/>
      <c r="F49" s="78"/>
      <c r="G49" s="82"/>
      <c r="H49" s="78"/>
      <c r="I49" s="78"/>
      <c r="J49" s="78"/>
      <c r="K49" s="78"/>
      <c r="L49" s="78"/>
    </row>
    <row r="50" spans="3:12" ht="15.95" customHeight="1" x14ac:dyDescent="0.2">
      <c r="C50" s="78"/>
      <c r="D50" s="83"/>
      <c r="E50" s="21"/>
      <c r="F50" s="78"/>
      <c r="G50" s="82"/>
      <c r="H50" s="78"/>
      <c r="I50" s="78"/>
      <c r="J50" s="78"/>
      <c r="K50" s="78"/>
      <c r="L50" s="78"/>
    </row>
    <row r="51" spans="3:12" ht="15.95" customHeight="1" x14ac:dyDescent="0.2">
      <c r="C51" s="78"/>
      <c r="D51" s="83"/>
      <c r="E51" s="85"/>
      <c r="F51" s="78"/>
      <c r="G51" s="82"/>
      <c r="H51" s="78"/>
      <c r="I51" s="78"/>
      <c r="J51" s="78"/>
      <c r="K51" s="78"/>
      <c r="L51" s="78"/>
    </row>
    <row r="52" spans="3:12" ht="15.95" customHeight="1" x14ac:dyDescent="0.2">
      <c r="C52" s="78"/>
      <c r="D52" s="78"/>
      <c r="E52" s="21"/>
      <c r="F52" s="78"/>
      <c r="G52" s="82"/>
      <c r="H52" s="78"/>
      <c r="I52" s="78"/>
      <c r="J52" s="78"/>
      <c r="K52" s="78"/>
      <c r="L52" s="78"/>
    </row>
    <row r="53" spans="3:12" ht="15.95" customHeight="1" x14ac:dyDescent="0.2">
      <c r="C53" s="78"/>
      <c r="D53" s="83"/>
      <c r="E53" s="21"/>
      <c r="F53" s="78"/>
      <c r="G53" s="82"/>
      <c r="H53" s="78"/>
      <c r="I53" s="78"/>
      <c r="J53" s="78"/>
      <c r="K53" s="78"/>
      <c r="L53" s="78"/>
    </row>
    <row r="54" spans="3:12" ht="15.95" customHeight="1" x14ac:dyDescent="0.2">
      <c r="C54" s="78"/>
      <c r="D54" s="83"/>
      <c r="E54" s="85"/>
      <c r="F54" s="78"/>
      <c r="G54" s="82"/>
      <c r="H54" s="78"/>
      <c r="I54" s="78"/>
      <c r="J54" s="78"/>
      <c r="K54" s="78"/>
      <c r="L54" s="78"/>
    </row>
    <row r="55" spans="3:12" ht="15.95" customHeight="1" x14ac:dyDescent="0.2">
      <c r="C55" s="78"/>
      <c r="D55" s="78"/>
      <c r="E55" s="78"/>
      <c r="F55" s="78"/>
      <c r="G55" s="78"/>
      <c r="H55" s="78"/>
      <c r="I55" s="78"/>
      <c r="J55" s="78"/>
      <c r="K55" s="78"/>
      <c r="L55" s="78"/>
    </row>
    <row r="56" spans="3:12" ht="15.95" customHeight="1" x14ac:dyDescent="0.2">
      <c r="C56" s="78"/>
      <c r="D56" s="78"/>
      <c r="E56" s="78"/>
      <c r="F56" s="78"/>
      <c r="G56" s="78"/>
      <c r="H56" s="78"/>
      <c r="I56" s="78"/>
      <c r="J56" s="78"/>
      <c r="K56" s="78"/>
      <c r="L56" s="78"/>
    </row>
    <row r="57" spans="3:12" ht="15.95" customHeight="1" x14ac:dyDescent="0.2">
      <c r="C57" s="78"/>
      <c r="D57" s="78"/>
      <c r="E57" s="78"/>
      <c r="F57" s="78"/>
      <c r="G57" s="78"/>
      <c r="H57" s="78"/>
      <c r="I57" s="78"/>
      <c r="J57" s="78"/>
      <c r="K57" s="78"/>
      <c r="L57" s="78"/>
    </row>
    <row r="58" spans="3:12" ht="15.95" customHeight="1" x14ac:dyDescent="0.2">
      <c r="C58" s="78"/>
      <c r="D58" s="78"/>
      <c r="E58" s="78"/>
      <c r="F58" s="78"/>
      <c r="G58" s="78"/>
      <c r="H58" s="78"/>
      <c r="I58" s="78"/>
      <c r="J58" s="78"/>
      <c r="K58" s="78"/>
      <c r="L58" s="78"/>
    </row>
    <row r="59" spans="3:12" ht="15.95" customHeight="1" x14ac:dyDescent="0.2">
      <c r="C59" s="78"/>
      <c r="D59" s="78"/>
      <c r="E59" s="78"/>
      <c r="F59" s="78"/>
      <c r="G59" s="78"/>
      <c r="H59" s="78"/>
      <c r="I59" s="78"/>
      <c r="J59" s="78"/>
      <c r="K59" s="78"/>
      <c r="L59" s="78"/>
    </row>
    <row r="60" spans="3:12" ht="15.95" customHeight="1" x14ac:dyDescent="0.2">
      <c r="C60" s="78"/>
      <c r="D60" s="78"/>
      <c r="E60" s="78"/>
      <c r="F60" s="78"/>
      <c r="G60" s="78"/>
      <c r="H60" s="78"/>
      <c r="I60" s="78"/>
      <c r="J60" s="78"/>
      <c r="K60" s="78"/>
      <c r="L60" s="78"/>
    </row>
  </sheetData>
  <conditionalFormatting pivot="1" sqref="AE9:AE20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{BC5EE17E-D59E-440E-8C49-A54236BB7021}</x14:id>
        </ext>
      </extLst>
    </cfRule>
  </conditionalFormatting>
  <conditionalFormatting pivot="1" sqref="AE22:AE33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{381F1780-98EE-4438-BE21-60CF5AAE655A}</x14:id>
        </ext>
      </extLst>
    </cfRule>
  </conditionalFormatting>
  <conditionalFormatting pivot="1" sqref="AE35:AE46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{A13F053D-A25F-4376-87B6-1C5C6FEEA4FE}</x14:id>
        </ext>
      </extLst>
    </cfRule>
  </conditionalFormatting>
  <conditionalFormatting pivot="1" sqref="AE9:AE20">
    <cfRule type="dataBar" priority="9">
      <dataBar showValue="0">
        <cfvo type="min"/>
        <cfvo type="max"/>
        <color theme="7"/>
      </dataBar>
      <extLst>
        <ext xmlns:x14="http://schemas.microsoft.com/office/spreadsheetml/2009/9/main" uri="{B025F937-C7B1-47D3-B67F-A62EFF666E3E}">
          <x14:id>{3CABB902-B2B1-4092-BD13-9F10D61A4A78}</x14:id>
        </ext>
      </extLst>
    </cfRule>
  </conditionalFormatting>
  <conditionalFormatting pivot="1" sqref="AE22:AE33">
    <cfRule type="dataBar" priority="8">
      <dataBar showValue="0">
        <cfvo type="min"/>
        <cfvo type="max"/>
        <color theme="6"/>
      </dataBar>
      <extLst>
        <ext xmlns:x14="http://schemas.microsoft.com/office/spreadsheetml/2009/9/main" uri="{B025F937-C7B1-47D3-B67F-A62EFF666E3E}">
          <x14:id>{F4D5E70C-0195-44BC-9099-27DA30032EBE}</x14:id>
        </ext>
      </extLst>
    </cfRule>
  </conditionalFormatting>
  <conditionalFormatting pivot="1" sqref="AE35:AE46">
    <cfRule type="dataBar" priority="7">
      <dataBar showValue="0">
        <cfvo type="min"/>
        <cfvo type="max"/>
        <color theme="8"/>
      </dataBar>
      <extLst>
        <ext xmlns:x14="http://schemas.microsoft.com/office/spreadsheetml/2009/9/main" uri="{B025F937-C7B1-47D3-B67F-A62EFF666E3E}">
          <x14:id>{E7AC5094-46AE-46FD-91E1-DB6A60471FFB}</x14:id>
        </ext>
      </extLst>
    </cfRule>
  </conditionalFormatting>
  <conditionalFormatting pivot="1" sqref="AG9:AG17">
    <cfRule type="colorScale" priority="6">
      <colorScale>
        <cfvo type="min"/>
        <cfvo type="max"/>
        <color rgb="FFFCFCFF"/>
        <color rgb="FF63BE7B"/>
      </colorScale>
    </cfRule>
  </conditionalFormatting>
  <conditionalFormatting pivot="1" sqref="AG9:AG17">
    <cfRule type="colorScale" priority="5">
      <colorScale>
        <cfvo type="min"/>
        <cfvo type="max"/>
        <color theme="7" tint="0.79998168889431442"/>
        <color theme="7" tint="0.39997558519241921"/>
      </colorScale>
    </cfRule>
  </conditionalFormatting>
  <conditionalFormatting pivot="1" sqref="AG22:AG30">
    <cfRule type="colorScale" priority="4">
      <colorScale>
        <cfvo type="min"/>
        <cfvo type="max"/>
        <color rgb="FFFCFCFF"/>
        <color rgb="FF63BE7B"/>
      </colorScale>
    </cfRule>
  </conditionalFormatting>
  <conditionalFormatting pivot="1" sqref="AG22:AG30">
    <cfRule type="colorScale" priority="3">
      <colorScale>
        <cfvo type="min"/>
        <cfvo type="max"/>
        <color theme="6" tint="0.79998168889431442"/>
        <color theme="6" tint="0.39997558519241921"/>
      </colorScale>
    </cfRule>
  </conditionalFormatting>
  <conditionalFormatting pivot="1" sqref="AG35:AG42">
    <cfRule type="colorScale" priority="2">
      <colorScale>
        <cfvo type="min"/>
        <cfvo type="max"/>
        <color rgb="FFFCFCFF"/>
        <color rgb="FF63BE7B"/>
      </colorScale>
    </cfRule>
  </conditionalFormatting>
  <conditionalFormatting pivot="1" sqref="AG35:AG42">
    <cfRule type="colorScale" priority="1">
      <colorScale>
        <cfvo type="min"/>
        <cfvo type="max"/>
        <color theme="8" tint="0.79998168889431442"/>
        <color theme="8"/>
      </colorScale>
    </cfRule>
  </conditionalFormatting>
  <dataValidations disablePrompts="1" count="1">
    <dataValidation errorStyle="information" operator="greaterThan" showErrorMessage="1" errorTitle="Message SISB" error="Veuillez entrer un nombre positif entier" promptTitle="Message SISB" prompt="veuillez entrer un nombre entier" sqref="F10:M10 F8:R9" xr:uid="{D74A8522-B59C-49AC-AFE8-915566AACD15}"/>
  </dataValidations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BC5EE17E-D59E-440E-8C49-A54236BB70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AE9:AE20</xm:sqref>
        </x14:conditionalFormatting>
        <x14:conditionalFormatting xmlns:xm="http://schemas.microsoft.com/office/excel/2006/main" pivot="1">
          <x14:cfRule type="dataBar" id="{381F1780-98EE-4438-BE21-60CF5AAE65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AE22:AE33</xm:sqref>
        </x14:conditionalFormatting>
        <x14:conditionalFormatting xmlns:xm="http://schemas.microsoft.com/office/excel/2006/main" pivot="1">
          <x14:cfRule type="dataBar" id="{A13F053D-A25F-4376-87B6-1C5C6FEEA4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AE35:AE46</xm:sqref>
        </x14:conditionalFormatting>
        <x14:conditionalFormatting xmlns:xm="http://schemas.microsoft.com/office/excel/2006/main" pivot="1">
          <x14:cfRule type="dataBar" id="{3CABB902-B2B1-4092-BD13-9F10D61A4A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AE9:AE20</xm:sqref>
        </x14:conditionalFormatting>
        <x14:conditionalFormatting xmlns:xm="http://schemas.microsoft.com/office/excel/2006/main" pivot="1">
          <x14:cfRule type="dataBar" id="{F4D5E70C-0195-44BC-9099-27DA30032E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AE22:AE33</xm:sqref>
        </x14:conditionalFormatting>
        <x14:conditionalFormatting xmlns:xm="http://schemas.microsoft.com/office/excel/2006/main" pivot="1">
          <x14:cfRule type="dataBar" id="{E7AC5094-46AE-46FD-91E1-DB6A60471F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AE35:AE46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4</vt:i4>
      </vt:variant>
    </vt:vector>
  </HeadingPairs>
  <TitlesOfParts>
    <vt:vector size="11" baseType="lpstr">
      <vt:lpstr>USEP_2026</vt:lpstr>
      <vt:lpstr>USEP_2025</vt:lpstr>
      <vt:lpstr>USEP_2024</vt:lpstr>
      <vt:lpstr>&gt;&gt; DEMO</vt:lpstr>
      <vt:lpstr>USEP_Demo</vt:lpstr>
      <vt:lpstr>USEP_Demo_01</vt:lpstr>
      <vt:lpstr>USEP_Demo_02</vt:lpstr>
      <vt:lpstr>PlageDates2026</vt:lpstr>
      <vt:lpstr>PlageEntrees2026</vt:lpstr>
      <vt:lpstr>PlagePrets2026</vt:lpstr>
      <vt:lpstr>PlagesSollicitations2026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Agnès Guex</dc:creator>
  <cp:lastModifiedBy>Geneviève Agnès Guex</cp:lastModifiedBy>
  <dcterms:created xsi:type="dcterms:W3CDTF">2026-09-29T05:22:18Z</dcterms:created>
  <dcterms:modified xsi:type="dcterms:W3CDTF">2026-10-12T07:39:49Z</dcterms:modified>
</cp:coreProperties>
</file>