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epflch-my.sharepoint.com/personal/genevieve_guex_epfl_ch/Documents/Documents/SISB_Presentations/SISB-Apero-Slidev/public/assets/files/Excel_Demo-02/"/>
    </mc:Choice>
  </mc:AlternateContent>
  <xr:revisionPtr revIDLastSave="625" documentId="8_{B86F2B6C-3DE1-486D-B3D3-0A1863A11CDA}" xr6:coauthVersionLast="47" xr6:coauthVersionMax="47" xr10:uidLastSave="{0297FD8B-6F90-46A5-9635-6876BC02E118}"/>
  <bookViews>
    <workbookView xWindow="-120" yWindow="-120" windowWidth="51840" windowHeight="21120" xr2:uid="{537DF2C6-54A6-4649-8875-CD01F068054D}"/>
  </bookViews>
  <sheets>
    <sheet name="USEP_2026 (2)" sheetId="4" r:id="rId1"/>
    <sheet name="USEP_2026" sheetId="3" r:id="rId2"/>
    <sheet name="USEP_2025" sheetId="2" r:id="rId3"/>
    <sheet name="USEP_2024" sheetId="1" r:id="rId4"/>
  </sheets>
  <calcPr calcId="191029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6" i="4" l="1"/>
  <c r="G55" i="4"/>
  <c r="E55" i="4"/>
  <c r="E56" i="4" s="1"/>
  <c r="G53" i="4"/>
  <c r="G52" i="4"/>
  <c r="E52" i="4"/>
  <c r="E53" i="4" s="1"/>
  <c r="G50" i="4"/>
  <c r="G49" i="4"/>
  <c r="E49" i="4"/>
  <c r="E50" i="4" s="1"/>
  <c r="G45" i="4"/>
  <c r="E45" i="4"/>
  <c r="G44" i="4"/>
  <c r="E44" i="4"/>
  <c r="G42" i="4"/>
  <c r="E42" i="4"/>
  <c r="G41" i="4"/>
  <c r="E41" i="4"/>
  <c r="G39" i="4"/>
  <c r="E39" i="4"/>
  <c r="G38" i="4"/>
  <c r="E38" i="4"/>
  <c r="G35" i="4"/>
  <c r="E35" i="4"/>
  <c r="G34" i="4"/>
  <c r="E34" i="4"/>
  <c r="G33" i="4"/>
  <c r="E33" i="4"/>
  <c r="G30" i="4"/>
  <c r="E30" i="4"/>
  <c r="G29" i="4"/>
  <c r="E29" i="4"/>
  <c r="G28" i="4"/>
  <c r="E28" i="4"/>
  <c r="G25" i="4"/>
  <c r="E25" i="4"/>
  <c r="G24" i="4"/>
  <c r="E24" i="4"/>
  <c r="G23" i="4"/>
  <c r="E23" i="4"/>
  <c r="G19" i="4"/>
  <c r="E19" i="4"/>
  <c r="G17" i="4"/>
  <c r="E17" i="4"/>
  <c r="G16" i="4"/>
  <c r="E16" i="4"/>
  <c r="E56" i="3"/>
  <c r="E55" i="3"/>
  <c r="E53" i="3"/>
  <c r="E52" i="3"/>
  <c r="E50" i="3"/>
  <c r="E49" i="3"/>
  <c r="E45" i="3"/>
  <c r="E44" i="3"/>
  <c r="E42" i="3"/>
  <c r="E41" i="3"/>
  <c r="E39" i="3"/>
  <c r="E38" i="3"/>
  <c r="E34" i="3"/>
  <c r="E35" i="3"/>
  <c r="E33" i="3"/>
  <c r="E29" i="3"/>
  <c r="E30" i="3"/>
  <c r="E28" i="3"/>
  <c r="G17" i="3"/>
  <c r="G19" i="3"/>
  <c r="G23" i="3"/>
  <c r="G24" i="3"/>
  <c r="G25" i="3"/>
  <c r="G28" i="3"/>
  <c r="G29" i="3"/>
  <c r="G30" i="3"/>
  <c r="G33" i="3"/>
  <c r="G34" i="3"/>
  <c r="G35" i="3"/>
  <c r="G38" i="3"/>
  <c r="G39" i="3"/>
  <c r="G41" i="3"/>
  <c r="G42" i="3"/>
  <c r="G44" i="3"/>
  <c r="G45" i="3"/>
  <c r="G49" i="3"/>
  <c r="G50" i="3"/>
  <c r="G52" i="3"/>
  <c r="G53" i="3"/>
  <c r="G55" i="3"/>
  <c r="G56" i="3"/>
  <c r="G16" i="3"/>
  <c r="E25" i="3"/>
  <c r="E24" i="3"/>
  <c r="E23" i="3"/>
  <c r="E19" i="3"/>
  <c r="E17" i="3"/>
  <c r="E16" i="3"/>
</calcChain>
</file>

<file path=xl/sharedStrings.xml><?xml version="1.0" encoding="utf-8"?>
<sst xmlns="http://schemas.openxmlformats.org/spreadsheetml/2006/main" count="230" uniqueCount="72">
  <si>
    <t>N° Indicateur</t>
  </si>
  <si>
    <t>Indicateur</t>
  </si>
  <si>
    <t>Descriptif indicateur</t>
  </si>
  <si>
    <t>BAT_010</t>
  </si>
  <si>
    <t>Bâtiment : Entrées physiques (nombre)</t>
  </si>
  <si>
    <t>janv.25</t>
  </si>
  <si>
    <t>févr.25</t>
  </si>
  <si>
    <t>mars25</t>
  </si>
  <si>
    <t>avr.25</t>
  </si>
  <si>
    <t>mai25</t>
  </si>
  <si>
    <t>juin25</t>
  </si>
  <si>
    <t>juil.25</t>
  </si>
  <si>
    <t>août25</t>
  </si>
  <si>
    <t>sept.25</t>
  </si>
  <si>
    <t>oct.25</t>
  </si>
  <si>
    <t>nov.25</t>
  </si>
  <si>
    <t>déc.25</t>
  </si>
  <si>
    <t>janv.24</t>
  </si>
  <si>
    <t>févr.24</t>
  </si>
  <si>
    <t>mars24</t>
  </si>
  <si>
    <t>avr.24</t>
  </si>
  <si>
    <t>mai24</t>
  </si>
  <si>
    <t>juin24</t>
  </si>
  <si>
    <t>juil.24</t>
  </si>
  <si>
    <t>août24</t>
  </si>
  <si>
    <t>sept.24</t>
  </si>
  <si>
    <t>oct.24</t>
  </si>
  <si>
    <t>nov.24</t>
  </si>
  <si>
    <t>déc.24</t>
  </si>
  <si>
    <t>REQ_010</t>
  </si>
  <si>
    <t>Sollicitations : Guichets physiques - demandes (nombre)</t>
  </si>
  <si>
    <t>Nombre de sollicitations au guichet physique durant le mois</t>
  </si>
  <si>
    <t>USE_010</t>
  </si>
  <si>
    <t>Usage : Prêts  locaux + PER + PEB avec prolongations (nombre)</t>
  </si>
  <si>
    <t>Nombre d'entrées physiques; 
comptage: total mensuel du système à diviser par deux si comptabilise entrées et sorties</t>
  </si>
  <si>
    <t>Nombre de documents du fonds prêtés et sous prolongation durant le mois;
inclus: prêt en réseau, prêt entre bibliothèques; prêts sans prolongation</t>
  </si>
  <si>
    <t>Nombre de documents du fonds prêtés et sous prolongation durant le mois;
inclus: prêt en réseau, prêt entre bibliothèques; inclus les prêts sans prolongation</t>
  </si>
  <si>
    <t>Début du comptage</t>
  </si>
  <si>
    <t>Fin du comptage</t>
  </si>
  <si>
    <t>Nombre total</t>
  </si>
  <si>
    <t>Entrées</t>
  </si>
  <si>
    <t>Prêts</t>
  </si>
  <si>
    <t>Valeur médiane</t>
  </si>
  <si>
    <t>Max</t>
  </si>
  <si>
    <t>Min</t>
  </si>
  <si>
    <t>Nombre min d'entrées sur une journée</t>
  </si>
  <si>
    <t>Nombre min de prêts sur une journée</t>
  </si>
  <si>
    <t>Nombre de mois contrôlés</t>
  </si>
  <si>
    <t>Sollicitations</t>
  </si>
  <si>
    <t>Moyenne mensuelle</t>
  </si>
  <si>
    <t>Mois avec le plus d'entrées</t>
  </si>
  <si>
    <t>Nombre max d'entrées sur un mois</t>
  </si>
  <si>
    <t>Nombre max de prêts sur un mois</t>
  </si>
  <si>
    <t>Mois avec le plus de prêts</t>
  </si>
  <si>
    <t>Mois avec le plus de sollicitations</t>
  </si>
  <si>
    <t>Nombre max de sollicitations sur un mois</t>
  </si>
  <si>
    <t>Nombre min de sollicitations sur un mois</t>
  </si>
  <si>
    <t>Mois avec le moins de sollicitations</t>
  </si>
  <si>
    <t>Équipe</t>
  </si>
  <si>
    <t>ASAP</t>
  </si>
  <si>
    <t>FDOC</t>
  </si>
  <si>
    <t>FORMULE</t>
  </si>
  <si>
    <t>Mois avec le moins d'entrées</t>
  </si>
  <si>
    <t>Mois avec le moins de prêts</t>
  </si>
  <si>
    <t>Date</t>
  </si>
  <si>
    <t>Valeur</t>
  </si>
  <si>
    <t>(Tous)</t>
  </si>
  <si>
    <t>Étiquettes de lignes</t>
  </si>
  <si>
    <t>Somme de Valeur2</t>
  </si>
  <si>
    <t>PCT</t>
  </si>
  <si>
    <t>Nombre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</si>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</sst>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0_-;_-@_-"/>
    <numFmt numFmtId="165" formatCode="_-* #,##0_-;\-* #,##0_-;_-* &quot;-&quot;??_-;_-@_-"/>
    <numFmt numFmtId="170" formatCode="mmm\ yyyy"/>
    <numFmt numFmtId="172" formatCode="mmmm"/>
    <numFmt numFmtId="174" formatCode="0.0%"/>
  </numFmts>
  <fonts count="11" x14ac:knownFonts="1">
    <font>
      <sz val="9"/>
      <color theme="1"/>
      <name val="Aptos"/>
      <family val="2"/>
    </font>
    <font>
      <sz val="9"/>
      <color theme="1"/>
      <name val="Aptos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sz val="10"/>
      <name val="Aptos"/>
      <family val="2"/>
    </font>
    <font>
      <b/>
      <sz val="9"/>
      <color theme="1"/>
      <name val="Aptos"/>
      <family val="2"/>
    </font>
    <font>
      <b/>
      <sz val="9"/>
      <name val="Aptos"/>
      <family val="2"/>
    </font>
    <font>
      <sz val="9"/>
      <name val="Aptos"/>
      <family val="2"/>
    </font>
    <font>
      <sz val="8"/>
      <name val="Aptos"/>
      <family val="2"/>
    </font>
    <font>
      <i/>
      <sz val="9"/>
      <color theme="0" tint="-0.499984740745262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auto="1"/>
      </top>
      <bottom style="thin">
        <color auto="1"/>
      </bottom>
      <diagonal/>
    </border>
    <border>
      <left/>
      <right style="thin">
        <color theme="2" tint="-9.9948118533890809E-2"/>
      </right>
      <top style="thin">
        <color auto="1"/>
      </top>
      <bottom style="thin">
        <color auto="1"/>
      </bottom>
      <diagonal/>
    </border>
    <border>
      <left style="thin">
        <color theme="2" tint="-9.9948118533890809E-2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theme="2" tint="-9.9948118533890809E-2"/>
      </right>
      <top/>
      <bottom style="thin">
        <color auto="1"/>
      </bottom>
      <diagonal/>
    </border>
    <border>
      <left style="thin">
        <color theme="2" tint="-9.9948118533890809E-2"/>
      </left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76">
    <xf numFmtId="0" fontId="0" fillId="0" borderId="0" xfId="0"/>
    <xf numFmtId="0" fontId="4" fillId="0" borderId="1" xfId="0" applyFont="1" applyBorder="1" applyAlignment="1">
      <alignment vertical="top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49" fontId="3" fillId="2" borderId="1" xfId="2" applyNumberFormat="1" applyFont="1" applyFill="1" applyBorder="1" applyAlignment="1">
      <alignment horizontal="center" vertical="center" wrapText="1"/>
    </xf>
    <xf numFmtId="49" fontId="3" fillId="2" borderId="1" xfId="2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165" fontId="4" fillId="0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165" fontId="5" fillId="0" borderId="1" xfId="1" applyNumberFormat="1" applyFont="1" applyBorder="1" applyAlignment="1">
      <alignment horizontal="center" vertical="center"/>
    </xf>
    <xf numFmtId="0" fontId="0" fillId="0" borderId="0" xfId="0" applyFill="1" applyBorder="1"/>
    <xf numFmtId="0" fontId="7" fillId="0" borderId="0" xfId="0" applyFont="1"/>
    <xf numFmtId="0" fontId="8" fillId="0" borderId="0" xfId="0" applyFont="1"/>
    <xf numFmtId="0" fontId="8" fillId="0" borderId="2" xfId="0" applyFont="1" applyBorder="1"/>
    <xf numFmtId="0" fontId="8" fillId="0" borderId="3" xfId="0" applyFont="1" applyBorder="1"/>
    <xf numFmtId="0" fontId="8" fillId="0" borderId="4" xfId="0" applyFont="1" applyBorder="1"/>
    <xf numFmtId="0" fontId="8" fillId="0" borderId="0" xfId="0" applyFont="1" applyBorder="1"/>
    <xf numFmtId="164" fontId="5" fillId="0" borderId="6" xfId="1" applyNumberFormat="1" applyFont="1" applyFill="1" applyBorder="1" applyAlignment="1">
      <alignment horizontal="center" vertical="center"/>
    </xf>
    <xf numFmtId="0" fontId="0" fillId="0" borderId="6" xfId="0" applyFill="1" applyBorder="1"/>
    <xf numFmtId="0" fontId="4" fillId="0" borderId="6" xfId="0" applyFont="1" applyFill="1" applyBorder="1" applyAlignment="1">
      <alignment vertical="center" wrapText="1"/>
    </xf>
    <xf numFmtId="0" fontId="4" fillId="0" borderId="6" xfId="0" applyFont="1" applyFill="1" applyBorder="1" applyAlignment="1">
      <alignment vertical="top" wrapText="1"/>
    </xf>
    <xf numFmtId="0" fontId="4" fillId="0" borderId="6" xfId="0" applyFont="1" applyFill="1" applyBorder="1" applyAlignment="1">
      <alignment horizontal="left" vertical="center"/>
    </xf>
    <xf numFmtId="0" fontId="4" fillId="0" borderId="7" xfId="0" applyFont="1" applyFill="1" applyBorder="1" applyAlignment="1">
      <alignment horizontal="left" vertical="center"/>
    </xf>
    <xf numFmtId="0" fontId="0" fillId="0" borderId="8" xfId="0" applyFill="1" applyBorder="1"/>
    <xf numFmtId="0" fontId="0" fillId="0" borderId="4" xfId="0" applyBorder="1"/>
    <xf numFmtId="0" fontId="7" fillId="0" borderId="2" xfId="0" applyFont="1" applyBorder="1"/>
    <xf numFmtId="14" fontId="0" fillId="0" borderId="0" xfId="0" applyNumberFormat="1"/>
    <xf numFmtId="14" fontId="7" fillId="3" borderId="2" xfId="0" applyNumberFormat="1" applyFont="1" applyFill="1" applyBorder="1"/>
    <xf numFmtId="0" fontId="7" fillId="3" borderId="2" xfId="0" applyFont="1" applyFill="1" applyBorder="1"/>
    <xf numFmtId="165" fontId="7" fillId="3" borderId="2" xfId="1" applyNumberFormat="1" applyFont="1" applyFill="1" applyBorder="1"/>
    <xf numFmtId="0" fontId="4" fillId="0" borderId="10" xfId="0" applyFont="1" applyFill="1" applyBorder="1" applyAlignment="1">
      <alignment horizontal="left" vertical="center" wrapText="1"/>
    </xf>
    <xf numFmtId="0" fontId="4" fillId="0" borderId="5" xfId="0" applyFont="1" applyFill="1" applyBorder="1" applyAlignment="1">
      <alignment horizontal="left" vertical="center" wrapText="1"/>
    </xf>
    <xf numFmtId="0" fontId="4" fillId="0" borderId="5" xfId="0" applyFont="1" applyFill="1" applyBorder="1" applyAlignment="1">
      <alignment vertical="center" wrapText="1"/>
    </xf>
    <xf numFmtId="0" fontId="4" fillId="0" borderId="5" xfId="0" applyFont="1" applyFill="1" applyBorder="1" applyAlignment="1">
      <alignment vertical="top" wrapText="1"/>
    </xf>
    <xf numFmtId="164" fontId="4" fillId="0" borderId="5" xfId="1" applyNumberFormat="1" applyFont="1" applyFill="1" applyBorder="1" applyAlignment="1">
      <alignment horizontal="center" vertical="center"/>
    </xf>
    <xf numFmtId="164" fontId="4" fillId="0" borderId="11" xfId="1" applyNumberFormat="1" applyFont="1" applyFill="1" applyBorder="1" applyAlignment="1">
      <alignment horizontal="center" vertical="center"/>
    </xf>
    <xf numFmtId="0" fontId="3" fillId="4" borderId="9" xfId="2" applyFont="1" applyFill="1" applyBorder="1" applyAlignment="1">
      <alignment wrapText="1"/>
    </xf>
    <xf numFmtId="0" fontId="3" fillId="4" borderId="9" xfId="0" applyFont="1" applyFill="1" applyBorder="1" applyAlignment="1">
      <alignment wrapText="1"/>
    </xf>
    <xf numFmtId="0" fontId="6" fillId="0" borderId="4" xfId="0" applyFont="1" applyBorder="1"/>
    <xf numFmtId="0" fontId="10" fillId="0" borderId="0" xfId="0" applyFont="1"/>
    <xf numFmtId="165" fontId="7" fillId="0" borderId="0" xfId="1" applyNumberFormat="1" applyFont="1"/>
    <xf numFmtId="165" fontId="7" fillId="3" borderId="3" xfId="1" applyNumberFormat="1" applyFont="1" applyFill="1" applyBorder="1"/>
    <xf numFmtId="165" fontId="7" fillId="0" borderId="0" xfId="1" applyNumberFormat="1" applyFont="1" applyFill="1" applyBorder="1"/>
    <xf numFmtId="170" fontId="3" fillId="4" borderId="9" xfId="2" applyNumberFormat="1" applyFont="1" applyFill="1" applyBorder="1" applyAlignment="1">
      <alignment horizontal="center" wrapText="1"/>
    </xf>
    <xf numFmtId="172" fontId="7" fillId="3" borderId="2" xfId="1" applyNumberFormat="1" applyFont="1" applyFill="1" applyBorder="1"/>
    <xf numFmtId="0" fontId="4" fillId="0" borderId="10" xfId="0" applyFont="1" applyFill="1" applyBorder="1" applyAlignment="1">
      <alignment horizontal="left" vertical="top" wrapText="1"/>
    </xf>
    <xf numFmtId="0" fontId="4" fillId="0" borderId="5" xfId="0" applyFont="1" applyFill="1" applyBorder="1" applyAlignment="1">
      <alignment horizontal="left" vertical="top" wrapText="1"/>
    </xf>
    <xf numFmtId="0" fontId="4" fillId="0" borderId="7" xfId="0" applyFont="1" applyFill="1" applyBorder="1" applyAlignment="1">
      <alignment horizontal="left" vertical="top"/>
    </xf>
    <xf numFmtId="0" fontId="4" fillId="0" borderId="6" xfId="0" applyFont="1" applyFill="1" applyBorder="1" applyAlignment="1">
      <alignment horizontal="left" vertical="top"/>
    </xf>
    <xf numFmtId="0" fontId="3" fillId="4" borderId="9" xfId="2" applyFont="1" applyFill="1" applyBorder="1" applyAlignment="1">
      <alignment horizontal="left" vertical="top" wrapText="1"/>
    </xf>
    <xf numFmtId="0" fontId="3" fillId="4" borderId="9" xfId="0" applyFont="1" applyFill="1" applyBorder="1" applyAlignment="1">
      <alignment horizontal="left" vertical="top" wrapText="1"/>
    </xf>
    <xf numFmtId="170" fontId="3" fillId="4" borderId="9" xfId="2" applyNumberFormat="1" applyFont="1" applyFill="1" applyBorder="1" applyAlignment="1">
      <alignment horizontal="left" vertical="top" wrapText="1"/>
    </xf>
    <xf numFmtId="164" fontId="4" fillId="0" borderId="5" xfId="1" applyNumberFormat="1" applyFont="1" applyFill="1" applyBorder="1" applyAlignment="1">
      <alignment horizontal="left" vertical="top"/>
    </xf>
    <xf numFmtId="164" fontId="4" fillId="0" borderId="11" xfId="1" applyNumberFormat="1" applyFont="1" applyFill="1" applyBorder="1" applyAlignment="1">
      <alignment horizontal="left" vertical="top"/>
    </xf>
    <xf numFmtId="0" fontId="4" fillId="0" borderId="6" xfId="0" applyFont="1" applyFill="1" applyBorder="1" applyAlignment="1">
      <alignment horizontal="left" vertical="top" wrapText="1"/>
    </xf>
    <xf numFmtId="164" fontId="5" fillId="0" borderId="6" xfId="1" applyNumberFormat="1" applyFont="1" applyFill="1" applyBorder="1" applyAlignment="1">
      <alignment horizontal="left" vertical="top"/>
    </xf>
    <xf numFmtId="0" fontId="0" fillId="0" borderId="6" xfId="0" applyFill="1" applyBorder="1" applyAlignment="1">
      <alignment horizontal="left" vertical="top"/>
    </xf>
    <xf numFmtId="0" fontId="0" fillId="0" borderId="8" xfId="0" applyFill="1" applyBorder="1" applyAlignment="1">
      <alignment horizontal="left" vertical="top"/>
    </xf>
    <xf numFmtId="0" fontId="3" fillId="0" borderId="0" xfId="0" applyFont="1" applyFill="1" applyBorder="1" applyAlignment="1">
      <alignment horizontal="left" vertical="top" wrapText="1"/>
    </xf>
    <xf numFmtId="14" fontId="0" fillId="0" borderId="12" xfId="0" applyNumberFormat="1" applyBorder="1"/>
    <xf numFmtId="0" fontId="0" fillId="0" borderId="12" xfId="0" applyBorder="1"/>
    <xf numFmtId="14" fontId="0" fillId="0" borderId="2" xfId="0" applyNumberFormat="1" applyBorder="1"/>
    <xf numFmtId="0" fontId="0" fillId="0" borderId="2" xfId="0" applyBorder="1"/>
    <xf numFmtId="0" fontId="3" fillId="4" borderId="9" xfId="0" applyFont="1" applyFill="1" applyBorder="1" applyAlignment="1">
      <alignment horizontal="right" vertical="top" wrapText="1"/>
    </xf>
    <xf numFmtId="0" fontId="0" fillId="0" borderId="0" xfId="0" pivotButton="1"/>
    <xf numFmtId="0" fontId="0" fillId="0" borderId="0" xfId="0" applyNumberFormat="1"/>
    <xf numFmtId="3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wrapText="1"/>
    </xf>
    <xf numFmtId="165" fontId="0" fillId="0" borderId="12" xfId="1" applyNumberFormat="1" applyFont="1" applyBorder="1"/>
    <xf numFmtId="165" fontId="0" fillId="0" borderId="2" xfId="1" applyNumberFormat="1" applyFont="1" applyBorder="1"/>
    <xf numFmtId="174" fontId="0" fillId="0" borderId="0" xfId="0" applyNumberFormat="1"/>
    <xf numFmtId="172" fontId="0" fillId="0" borderId="0" xfId="0" applyNumberFormat="1" applyAlignment="1">
      <alignment horizontal="left" indent="1"/>
    </xf>
  </cellXfs>
  <cellStyles count="3">
    <cellStyle name="Milliers" xfId="1" builtinId="3"/>
    <cellStyle name="Normal" xfId="0" builtinId="0"/>
    <cellStyle name="Normal 2" xfId="2" xr:uid="{D0C2D436-22CC-4622-BFAB-EE73B1162312}"/>
  </cellStyles>
  <dxfs count="94">
    <dxf>
      <alignment wrapText="1"/>
    </dxf>
    <dxf>
      <alignment wrapText="1"/>
    </dxf>
    <dxf>
      <alignment wrapText="1"/>
    </dxf>
    <dxf>
      <numFmt numFmtId="174" formatCode="0.0%"/>
    </dxf>
    <dxf>
      <alignment wrapText="1"/>
    </dxf>
    <dxf>
      <alignment wrapText="1"/>
    </dxf>
    <dxf>
      <alignment wrapText="1"/>
    </dxf>
    <dxf>
      <numFmt numFmtId="0" formatCode="General"/>
    </dxf>
    <dxf>
      <numFmt numFmtId="174" formatCode="0.0%"/>
    </dxf>
    <dxf>
      <numFmt numFmtId="174" formatCode="0.0%"/>
    </dxf>
    <dxf>
      <alignment wrapText="1"/>
    </dxf>
    <dxf>
      <alignment wrapText="1"/>
    </dxf>
    <dxf>
      <alignment wrapText="1"/>
    </dxf>
    <dxf>
      <numFmt numFmtId="0" formatCode="General"/>
    </dxf>
    <dxf>
      <alignment wrapText="1"/>
    </dxf>
    <dxf>
      <alignment wrapText="1"/>
    </dxf>
    <dxf>
      <alignment wrapText="1"/>
    </dxf>
    <dxf>
      <numFmt numFmtId="0" formatCode="General"/>
    </dxf>
    <dxf>
      <alignment wrapText="1"/>
    </dxf>
    <dxf>
      <alignment wrapText="1"/>
    </dxf>
    <dxf>
      <alignment wrapText="1"/>
    </dxf>
    <dxf>
      <numFmt numFmtId="0" formatCode="General"/>
    </dxf>
    <dxf>
      <alignment wrapText="1"/>
    </dxf>
    <dxf>
      <alignment wrapText="1"/>
    </dxf>
    <dxf>
      <alignment wrapText="1"/>
    </dxf>
    <dxf>
      <numFmt numFmtId="0" formatCode="General"/>
    </dxf>
    <dxf>
      <alignment wrapText="1"/>
    </dxf>
    <dxf>
      <alignment wrapText="1"/>
    </dxf>
    <dxf>
      <alignment wrapText="1"/>
    </dxf>
    <dxf>
      <numFmt numFmtId="0" formatCode="General"/>
    </dxf>
    <dxf>
      <alignment wrapText="1"/>
    </dxf>
    <dxf>
      <alignment wrapText="1"/>
    </dxf>
    <dxf>
      <alignment wrapText="1"/>
    </dxf>
    <dxf>
      <numFmt numFmtId="0" formatCode="General"/>
    </dxf>
    <dxf>
      <alignment wrapText="1"/>
    </dxf>
    <dxf>
      <alignment wrapText="1"/>
    </dxf>
    <dxf>
      <alignment wrapText="1"/>
    </dxf>
    <dxf>
      <numFmt numFmtId="0" formatCode="General"/>
    </dxf>
    <dxf>
      <numFmt numFmtId="14" formatCode="0.00%"/>
    </dxf>
    <dxf>
      <alignment wrapText="1"/>
    </dxf>
    <dxf>
      <alignment wrapText="1"/>
    </dxf>
    <dxf>
      <alignment wrapText="1"/>
    </dxf>
    <dxf>
      <numFmt numFmtId="14" formatCode="0.00%"/>
    </dxf>
    <dxf>
      <alignment wrapText="1"/>
    </dxf>
    <dxf>
      <alignment wrapText="1"/>
    </dxf>
    <dxf>
      <alignment wrapText="1"/>
    </dxf>
    <dxf>
      <numFmt numFmtId="14" formatCode="0.00%"/>
    </dxf>
    <dxf>
      <alignment wrapText="1"/>
    </dxf>
    <dxf>
      <alignment wrapText="1"/>
    </dxf>
    <dxf>
      <alignment wrapText="1"/>
    </dxf>
    <dxf>
      <numFmt numFmtId="14" formatCode="0.00%"/>
    </dxf>
    <dxf>
      <alignment wrapText="1"/>
    </dxf>
    <dxf>
      <alignment wrapText="1"/>
    </dxf>
    <dxf>
      <alignment wrapText="1"/>
    </dxf>
    <dxf>
      <numFmt numFmtId="14" formatCode="0.00%"/>
    </dxf>
    <dxf>
      <alignment wrapText="1"/>
    </dxf>
    <dxf>
      <alignment wrapText="1"/>
    </dxf>
    <dxf>
      <alignment wrapText="1"/>
    </dxf>
    <dxf>
      <numFmt numFmtId="14" formatCode="0.00%"/>
    </dxf>
    <dxf>
      <alignment wrapText="1"/>
    </dxf>
    <dxf>
      <alignment wrapText="1"/>
    </dxf>
    <dxf>
      <alignment wrapText="1"/>
    </dxf>
    <dxf>
      <numFmt numFmtId="14" formatCode="0.00%"/>
    </dxf>
    <dxf>
      <alignment wrapText="1"/>
    </dxf>
    <dxf>
      <alignment wrapText="1"/>
    </dxf>
    <dxf>
      <alignment wrapText="1"/>
    </dxf>
    <dxf>
      <numFmt numFmtId="14" formatCode="0.00%"/>
    </dxf>
    <dxf>
      <alignment wrapText="1"/>
    </dxf>
    <dxf>
      <alignment wrapText="1"/>
    </dxf>
    <dxf>
      <alignment wrapText="1"/>
    </dxf>
    <dxf>
      <numFmt numFmtId="14" formatCode="0.00%"/>
    </dxf>
    <dxf>
      <alignment wrapText="1"/>
    </dxf>
    <dxf>
      <alignment wrapText="1"/>
    </dxf>
    <dxf>
      <alignment wrapText="1"/>
    </dxf>
    <dxf>
      <numFmt numFmtId="14" formatCode="0.00%"/>
    </dxf>
    <dxf>
      <alignment wrapText="1"/>
    </dxf>
    <dxf>
      <alignment wrapText="1"/>
    </dxf>
    <dxf>
      <alignment wrapText="1"/>
    </dxf>
    <dxf>
      <numFmt numFmtId="14" formatCode="0.0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Le</a:t>
            </a:r>
            <a:r>
              <a:rPr lang="en-US" b="1" baseline="0">
                <a:solidFill>
                  <a:schemeClr val="tx1"/>
                </a:solidFill>
              </a:rPr>
              <a:t> mois de mai représente à lui seul 1/5 des entrées à la Bibliothèque</a:t>
            </a:r>
            <a:r>
              <a:rPr lang="en-US" b="1">
                <a:solidFill>
                  <a:schemeClr val="tx1"/>
                </a:solidFill>
              </a:rPr>
              <a:t> </a:t>
            </a:r>
          </a:p>
        </c:rich>
      </c:tx>
      <c:layout>
        <c:manualLayout>
          <c:xMode val="edge"/>
          <c:yMode val="edge"/>
          <c:x val="1.4547908853854733E-2"/>
          <c:y val="2.1238377162222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6931393008696138E-2"/>
          <c:y val="0.11623451618977441"/>
          <c:w val="0.93126305466342552"/>
          <c:h val="0.8317132517625036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'USEP_2026 (2)'!$Z$10</c:f>
              <c:strCache>
                <c:ptCount val="1"/>
                <c:pt idx="0">
                  <c:v>Bâtiment : Entrées physiques (nombre)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C3-4B1D-B4A0-8E9480CE900E}"/>
              </c:ext>
            </c:extLst>
          </c:dPt>
          <c:dLbls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30C3-4B1D-B4A0-8E9480CE900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'USEP_2026 (2)'!$AB$10:$AB$21</c:f>
              <c:numCache>
                <c:formatCode>m/d/yyyy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'USEP_2026 (2)'!$AC$10:$AC$21</c:f>
              <c:numCache>
                <c:formatCode>_-* #\ ##0_-;\-* #\ ##0_-;_-* "-"??_-;_-@_-</c:formatCode>
                <c:ptCount val="12"/>
                <c:pt idx="0">
                  <c:v>151902</c:v>
                </c:pt>
                <c:pt idx="1">
                  <c:v>50727</c:v>
                </c:pt>
                <c:pt idx="2">
                  <c:v>175830</c:v>
                </c:pt>
                <c:pt idx="3">
                  <c:v>172017</c:v>
                </c:pt>
                <c:pt idx="4">
                  <c:v>210289</c:v>
                </c:pt>
                <c:pt idx="5">
                  <c:v>169129</c:v>
                </c:pt>
                <c:pt idx="6">
                  <c:v>28845</c:v>
                </c:pt>
                <c:pt idx="7">
                  <c:v>39741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3-4B1D-B4A0-8E9480CE9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10105631"/>
        <c:axId val="1587758991"/>
      </c:barChart>
      <c:dateAx>
        <c:axId val="1610105631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7758991"/>
        <c:crosses val="autoZero"/>
        <c:auto val="1"/>
        <c:lblOffset val="100"/>
        <c:baseTimeUnit val="months"/>
      </c:dateAx>
      <c:valAx>
        <c:axId val="1587758991"/>
        <c:scaling>
          <c:orientation val="minMax"/>
        </c:scaling>
        <c:delete val="0"/>
        <c:axPos val="l"/>
        <c:numFmt formatCode="_-* #\ ##0_-;\-* #\ ##0_-;_-* &quot;-&quot;??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10105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Bâtiment : Entrées physiques (nombre)</a:t>
            </a:r>
          </a:p>
          <a:p>
            <a:pPr>
              <a:defRPr>
                <a:solidFill>
                  <a:schemeClr val="tx1"/>
                </a:solidFill>
              </a:defRPr>
            </a:pPr>
            <a:endParaRPr lang="en-US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3.3825996300128551E-2"/>
          <c:y val="1.9334659356034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USEP_2026!$D$10</c:f>
              <c:strCache>
                <c:ptCount val="1"/>
                <c:pt idx="0">
                  <c:v>Bâtiment : Entrées physiques (nombre)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D-7E1F-4526-A093-E6F582875FB5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4">
                          <a:lumMod val="40000"/>
                          <a:lumOff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E-7E1F-4526-A093-E6F582875F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USEP_2026!$F$9:$Q$9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USEP_2026!$F$10:$Q$10</c:f>
              <c:numCache>
                <c:formatCode>_-* #\ ##0_-;\-* #\ ##0_-;_-* 0_-;_-@_-</c:formatCode>
                <c:ptCount val="12"/>
                <c:pt idx="0">
                  <c:v>151902</c:v>
                </c:pt>
                <c:pt idx="1">
                  <c:v>50727</c:v>
                </c:pt>
                <c:pt idx="2">
                  <c:v>175830</c:v>
                </c:pt>
                <c:pt idx="3">
                  <c:v>172017</c:v>
                </c:pt>
                <c:pt idx="4">
                  <c:v>210289</c:v>
                </c:pt>
                <c:pt idx="5">
                  <c:v>169129</c:v>
                </c:pt>
                <c:pt idx="6">
                  <c:v>28845</c:v>
                </c:pt>
                <c:pt idx="7">
                  <c:v>39741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1F-4526-A093-E6F582875FB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253550911"/>
        <c:axId val="1095809679"/>
      </c:barChart>
      <c:dateAx>
        <c:axId val="1253550911"/>
        <c:scaling>
          <c:orientation val="maxMin"/>
        </c:scaling>
        <c:delete val="0"/>
        <c:axPos val="l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1"/>
        <c:axPos val="t"/>
        <c:numFmt formatCode="_-* #\ ##0_-;\-* #\ ##0_-;_-* 0_-;_-@_-" sourceLinked="1"/>
        <c:majorTickMark val="none"/>
        <c:minorTickMark val="none"/>
        <c:tickLblPos val="nextTo"/>
        <c:crossAx val="125355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 algn="l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Usage : Prêts  locaux + PER + PEB avec prolongations (nombre)</a:t>
            </a:r>
          </a:p>
        </c:rich>
      </c:tx>
      <c:layout>
        <c:manualLayout>
          <c:xMode val="edge"/>
          <c:yMode val="edge"/>
          <c:x val="3.4501228887882124E-2"/>
          <c:y val="1.9334659356034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0"/>
          <c:tx>
            <c:strRef>
              <c:f>USEP_2026!$D$11</c:f>
              <c:strCache>
                <c:ptCount val="1"/>
                <c:pt idx="0">
                  <c:v>Usage : Prêts  locaux + PER + PEB avec prolongations (nombre)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E-72A5-45B7-AE0E-70613D30123A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>
                          <a:lumMod val="40000"/>
                          <a:lumOff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F-72A5-45B7-AE0E-70613D30123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USEP_2026!$F$9:$Q$9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USEP_2026!$F$11:$Q$11</c:f>
              <c:numCache>
                <c:formatCode>_-* #\ ##0_-;\-* #\ ##0_-;_-* 0_-;_-@_-</c:formatCode>
                <c:ptCount val="12"/>
                <c:pt idx="0">
                  <c:v>5252</c:v>
                </c:pt>
                <c:pt idx="1">
                  <c:v>7084</c:v>
                </c:pt>
                <c:pt idx="2">
                  <c:v>7262</c:v>
                </c:pt>
                <c:pt idx="3">
                  <c:v>5243</c:v>
                </c:pt>
                <c:pt idx="4">
                  <c:v>4215</c:v>
                </c:pt>
                <c:pt idx="5">
                  <c:v>3141</c:v>
                </c:pt>
                <c:pt idx="6">
                  <c:v>1639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A5-45B7-AE0E-70613D30123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253550911"/>
        <c:axId val="1095809679"/>
      </c:barChart>
      <c:dateAx>
        <c:axId val="1253550911"/>
        <c:scaling>
          <c:orientation val="maxMin"/>
        </c:scaling>
        <c:delete val="0"/>
        <c:axPos val="l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1"/>
        <c:axPos val="t"/>
        <c:numFmt formatCode="_-* #\ ##0_-;\-* #\ ##0_-;_-* 0_-;_-@_-" sourceLinked="1"/>
        <c:majorTickMark val="none"/>
        <c:minorTickMark val="none"/>
        <c:tickLblPos val="nextTo"/>
        <c:crossAx val="125355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3.172405910479225E-2"/>
          <c:y val="2.25571025820397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USEP_2026!$D$12</c:f>
              <c:strCache>
                <c:ptCount val="1"/>
                <c:pt idx="0">
                  <c:v>Sollicitations : Guichets physiques - demandes (nombre)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D732-4A8E-BBE0-2B46CC0B2D9D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5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D732-4A8E-BBE0-2B46CC0B2D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USEP_2026!$F$9:$Q$9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USEP_2026!$F$12:$Q$12</c:f>
              <c:numCache>
                <c:formatCode>_-* #\ ##0_-;\-* #\ ##0_-;_-* 0_-;_-@_-</c:formatCode>
                <c:ptCount val="12"/>
                <c:pt idx="0">
                  <c:v>1505</c:v>
                </c:pt>
                <c:pt idx="1">
                  <c:v>1224</c:v>
                </c:pt>
                <c:pt idx="2">
                  <c:v>1970</c:v>
                </c:pt>
                <c:pt idx="3">
                  <c:v>1546</c:v>
                </c:pt>
                <c:pt idx="4">
                  <c:v>1667</c:v>
                </c:pt>
                <c:pt idx="5">
                  <c:v>1518</c:v>
                </c:pt>
                <c:pt idx="6">
                  <c:v>825</c:v>
                </c:pt>
                <c:pt idx="7">
                  <c:v>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732-4A8E-BBE0-2B46CC0B2D9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253550911"/>
        <c:axId val="1095809679"/>
      </c:barChart>
      <c:dateAx>
        <c:axId val="1253550911"/>
        <c:scaling>
          <c:orientation val="maxMin"/>
        </c:scaling>
        <c:delete val="0"/>
        <c:axPos val="l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1"/>
        <c:axPos val="t"/>
        <c:numFmt formatCode="_-* #\ ##0_-;\-* #\ ##0_-;_-* 0_-;_-@_-" sourceLinked="1"/>
        <c:majorTickMark val="none"/>
        <c:minorTickMark val="none"/>
        <c:tickLblPos val="nextTo"/>
        <c:crossAx val="125355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Bâtiment : Entrées physiques (nombre)</a:t>
            </a:r>
          </a:p>
          <a:p>
            <a:pPr>
              <a:defRPr>
                <a:solidFill>
                  <a:schemeClr val="tx1"/>
                </a:solidFill>
              </a:defRPr>
            </a:pPr>
            <a:endParaRPr lang="en-US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2.0451822162703297E-2"/>
          <c:y val="2.89346248352492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USEP_2026!$D$10</c:f>
              <c:strCache>
                <c:ptCount val="1"/>
                <c:pt idx="0">
                  <c:v>Bâtiment : Entrées physiques (nombre)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accent4"/>
              </a:solidFill>
            </a:ln>
            <a:effectLst/>
          </c:spPr>
          <c:dLbls>
            <c:dLbl>
              <c:idx val="4"/>
              <c:layout>
                <c:manualLayout>
                  <c:x val="-6.9323116710219334E-3"/>
                  <c:y val="-0.30837415293107395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B24-4CD2-8BA5-FEBAEB948448}"/>
                </c:ext>
              </c:extLst>
            </c:dLbl>
            <c:dLbl>
              <c:idx val="6"/>
              <c:layout>
                <c:manualLayout>
                  <c:x val="9.0976496218420078E-8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24-4CD2-8BA5-FEBAEB948448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B24-4CD2-8BA5-FEBAEB948448}"/>
                </c:ext>
              </c:extLst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B24-4CD2-8BA5-FEBAEB948448}"/>
                </c:ext>
              </c:extLst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B24-4CD2-8BA5-FEBAEB948448}"/>
                </c:ext>
              </c:extLst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B24-4CD2-8BA5-FEBAEB9484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USEP_2026!$F$9:$Q$9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USEP_2026!$F$10:$Q$10</c:f>
              <c:numCache>
                <c:formatCode>_-* #\ ##0_-;\-* #\ ##0_-;_-* 0_-;_-@_-</c:formatCode>
                <c:ptCount val="12"/>
                <c:pt idx="0">
                  <c:v>151902</c:v>
                </c:pt>
                <c:pt idx="1">
                  <c:v>50727</c:v>
                </c:pt>
                <c:pt idx="2">
                  <c:v>175830</c:v>
                </c:pt>
                <c:pt idx="3">
                  <c:v>172017</c:v>
                </c:pt>
                <c:pt idx="4">
                  <c:v>210289</c:v>
                </c:pt>
                <c:pt idx="5">
                  <c:v>169129</c:v>
                </c:pt>
                <c:pt idx="6">
                  <c:v>28845</c:v>
                </c:pt>
                <c:pt idx="7">
                  <c:v>39741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24-4CD2-8BA5-FEBAEB94844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253550911"/>
        <c:axId val="1095809679"/>
      </c:area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1.6506296296296297E-2"/>
          <c:y val="1.80880091311688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ndard"/>
        <c:varyColors val="0"/>
        <c:ser>
          <c:idx val="1"/>
          <c:order val="0"/>
          <c:tx>
            <c:strRef>
              <c:f>USEP_2026!$D$11</c:f>
              <c:strCache>
                <c:ptCount val="1"/>
                <c:pt idx="0">
                  <c:v>Usage : Prêts  locaux + PER + PEB avec prolongations (nombre)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solidFill>
                <a:schemeClr val="accent3"/>
              </a:solidFill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406-415A-9BEE-CA9F4E88DB8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406-415A-9BEE-CA9F4E88DB88}"/>
                </c:ext>
              </c:extLst>
            </c:dLbl>
            <c:dLbl>
              <c:idx val="2"/>
              <c:layout>
                <c:manualLayout>
                  <c:x val="-7.2071970391346923E-3"/>
                  <c:y val="-0.3319637048450607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406-415A-9BEE-CA9F4E88DB8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406-415A-9BEE-CA9F4E88DB8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406-415A-9BEE-CA9F4E88DB8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406-415A-9BEE-CA9F4E88DB88}"/>
                </c:ext>
              </c:extLst>
            </c:dLbl>
            <c:dLbl>
              <c:idx val="6"/>
              <c:layout>
                <c:manualLayout>
                  <c:x val="1.104480964760619E-2"/>
                  <c:y val="-0.109711322410013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>
                          <a:lumMod val="40000"/>
                          <a:lumOff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406-415A-9BEE-CA9F4E88DB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USEP_2026!$F$9:$Q$9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USEP_2026!$F$11:$Q$11</c:f>
              <c:numCache>
                <c:formatCode>_-* #\ ##0_-;\-* #\ ##0_-;_-* 0_-;_-@_-</c:formatCode>
                <c:ptCount val="12"/>
                <c:pt idx="0">
                  <c:v>5252</c:v>
                </c:pt>
                <c:pt idx="1">
                  <c:v>7084</c:v>
                </c:pt>
                <c:pt idx="2">
                  <c:v>7262</c:v>
                </c:pt>
                <c:pt idx="3">
                  <c:v>5243</c:v>
                </c:pt>
                <c:pt idx="4">
                  <c:v>4215</c:v>
                </c:pt>
                <c:pt idx="5">
                  <c:v>3141</c:v>
                </c:pt>
                <c:pt idx="6">
                  <c:v>1639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06-415A-9BEE-CA9F4E88DB8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253550911"/>
        <c:axId val="1095809679"/>
      </c:area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midCat"/>
        <c:majorUnit val="2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Sollicitations : Guichets physiques - demandes (nombre)</a:t>
            </a:r>
          </a:p>
          <a:p>
            <a:pPr algn="l">
              <a:defRPr>
                <a:solidFill>
                  <a:schemeClr val="tx1"/>
                </a:solidFill>
              </a:defRPr>
            </a:pPr>
            <a:endParaRPr lang="en-US"/>
          </a:p>
        </c:rich>
      </c:tx>
      <c:layout>
        <c:manualLayout>
          <c:xMode val="edge"/>
          <c:yMode val="edge"/>
          <c:x val="2.0128148148148148E-2"/>
          <c:y val="2.17056109574025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USEP_2026!$D$12</c:f>
              <c:strCache>
                <c:ptCount val="1"/>
                <c:pt idx="0">
                  <c:v>Sollicitations : Guichets physiques - demandes (nombre)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solidFill>
                <a:schemeClr val="accent5">
                  <a:lumMod val="75000"/>
                </a:schemeClr>
              </a:solidFill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E0A-4117-8EED-085720F22EE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E0A-4117-8EED-085720F22EE1}"/>
                </c:ext>
              </c:extLst>
            </c:dLbl>
            <c:dLbl>
              <c:idx val="2"/>
              <c:layout>
                <c:manualLayout>
                  <c:x val="-4.6292587759531774E-3"/>
                  <c:y val="-0.3128249309899910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5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E0A-4117-8EED-085720F22EE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E0A-4117-8EED-085720F22EE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E0A-4117-8EED-085720F22EE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E0A-4117-8EED-085720F22EE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E0A-4117-8EED-085720F22EE1}"/>
                </c:ext>
              </c:extLst>
            </c:dLbl>
            <c:dLbl>
              <c:idx val="7"/>
              <c:layout>
                <c:manualLayout>
                  <c:x val="-2.328083139722058E-3"/>
                  <c:y val="-0.1414079319585599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E0A-4117-8EED-085720F22E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USEP_2026!$F$9:$Q$9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USEP_2026!$F$12:$Q$12</c:f>
              <c:numCache>
                <c:formatCode>_-* #\ ##0_-;\-* #\ ##0_-;_-* 0_-;_-@_-</c:formatCode>
                <c:ptCount val="12"/>
                <c:pt idx="0">
                  <c:v>1505</c:v>
                </c:pt>
                <c:pt idx="1">
                  <c:v>1224</c:v>
                </c:pt>
                <c:pt idx="2">
                  <c:v>1970</c:v>
                </c:pt>
                <c:pt idx="3">
                  <c:v>1546</c:v>
                </c:pt>
                <c:pt idx="4">
                  <c:v>1667</c:v>
                </c:pt>
                <c:pt idx="5">
                  <c:v>1518</c:v>
                </c:pt>
                <c:pt idx="6">
                  <c:v>825</c:v>
                </c:pt>
                <c:pt idx="7">
                  <c:v>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0A-4117-8EED-085720F22EE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253550911"/>
        <c:axId val="1095809679"/>
      </c:area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24</xdr:col>
      <xdr:colOff>358586</xdr:colOff>
      <xdr:row>50</xdr:row>
      <xdr:rowOff>182013</xdr:rowOff>
    </xdr:from>
    <xdr:to>
      <xdr:col>30</xdr:col>
      <xdr:colOff>3801997</xdr:colOff>
      <xdr:row>74</xdr:row>
      <xdr:rowOff>54428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6B5A7338-5AF4-86D4-D6E7-F4310E533E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552449</xdr:colOff>
      <xdr:row>16</xdr:row>
      <xdr:rowOff>19050</xdr:rowOff>
    </xdr:from>
    <xdr:to>
      <xdr:col>16</xdr:col>
      <xdr:colOff>533400</xdr:colOff>
      <xdr:row>41</xdr:row>
      <xdr:rowOff>38100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9B04C4D9-2B80-E1CC-C0ED-83F27A6C86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675750</xdr:colOff>
      <xdr:row>16</xdr:row>
      <xdr:rowOff>19050</xdr:rowOff>
    </xdr:from>
    <xdr:to>
      <xdr:col>18</xdr:col>
      <xdr:colOff>3400950</xdr:colOff>
      <xdr:row>41</xdr:row>
      <xdr:rowOff>38100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55B30111-D0F2-48B7-90EA-E2DC274A57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3543300</xdr:colOff>
      <xdr:row>16</xdr:row>
      <xdr:rowOff>19050</xdr:rowOff>
    </xdr:from>
    <xdr:to>
      <xdr:col>22</xdr:col>
      <xdr:colOff>667800</xdr:colOff>
      <xdr:row>41</xdr:row>
      <xdr:rowOff>38100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4C273645-C16A-4F5A-986B-AADA6B4D61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533400</xdr:colOff>
      <xdr:row>44</xdr:row>
      <xdr:rowOff>114300</xdr:rowOff>
    </xdr:from>
    <xdr:to>
      <xdr:col>18</xdr:col>
      <xdr:colOff>542925</xdr:colOff>
      <xdr:row>67</xdr:row>
      <xdr:rowOff>28576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CDF829DF-7B31-460C-A569-FD85B6D6D7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790913</xdr:colOff>
      <xdr:row>44</xdr:row>
      <xdr:rowOff>114300</xdr:rowOff>
    </xdr:from>
    <xdr:to>
      <xdr:col>20</xdr:col>
      <xdr:colOff>587972</xdr:colOff>
      <xdr:row>67</xdr:row>
      <xdr:rowOff>27825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9E56C6FD-F98E-4494-97E9-A834FBE094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152400</xdr:colOff>
      <xdr:row>44</xdr:row>
      <xdr:rowOff>114300</xdr:rowOff>
    </xdr:from>
    <xdr:to>
      <xdr:col>29</xdr:col>
      <xdr:colOff>83930</xdr:colOff>
      <xdr:row>67</xdr:row>
      <xdr:rowOff>27825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1992E9E0-E0A1-4864-9B67-1DAA6B237E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neviève Agnès Guex" refreshedDate="46304.687557754631" createdVersion="8" refreshedVersion="8" minRefreshableVersion="3" recordCount="36" xr:uid="{789FF184-8E4A-49F0-88CF-9E4C929D885D}">
  <cacheSource type="worksheet">
    <worksheetSource ref="Z9:AC45" sheet="USEP_2026 (2)"/>
  </cacheSource>
  <cacheFields count="6">
    <cacheField name="Indicateur" numFmtId="0">
      <sharedItems count="3">
        <s v="Bâtiment : Entrées physiques (nombre)"/>
        <s v="Usage : Prêts  locaux + PER + PEB avec prolongations (nombre)"/>
        <s v="Sollicitations : Guichets physiques - demandes (nombre)"/>
      </sharedItems>
    </cacheField>
    <cacheField name="Équipe" numFmtId="0">
      <sharedItems count="2">
        <s v="ASAP"/>
        <s v="FDOC"/>
      </sharedItems>
    </cacheField>
    <cacheField name="Date" numFmtId="14">
      <sharedItems containsSemiMixedTypes="0" containsNonDate="0" containsDate="1" containsString="0" minDate="2026-01-31T00:00:00" maxDate="2027-01-01T00:00:00" count="12">
        <d v="2026-01-31T00:00:00"/>
        <d v="2026-02-28T00:00:00"/>
        <d v="2026-03-3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31T00:00:00"/>
      </sharedItems>
      <fieldGroup par="5"/>
    </cacheField>
    <cacheField name="Valeur" numFmtId="0">
      <sharedItems containsSemiMixedTypes="0" containsString="0" containsNumber="1" containsInteger="1" minValue="0" maxValue="210289" count="24">
        <n v="151902"/>
        <n v="50727"/>
        <n v="175830"/>
        <n v="172017"/>
        <n v="210289"/>
        <n v="169129"/>
        <n v="28845"/>
        <n v="39741"/>
        <n v="0"/>
        <n v="5252"/>
        <n v="7084"/>
        <n v="7262"/>
        <n v="5243"/>
        <n v="4215"/>
        <n v="3141"/>
        <n v="1639"/>
        <n v="1505"/>
        <n v="1224"/>
        <n v="1970"/>
        <n v="1546"/>
        <n v="1667"/>
        <n v="1518"/>
        <n v="825"/>
        <n v="792"/>
      </sharedItems>
    </cacheField>
    <cacheField name="Jours (Date)" numFmtId="0" databaseField="0">
      <fieldGroup base="2">
        <rangePr groupBy="days" startDate="2026-01-31T00:00:00" endDate="2027-01-01T00:00:00"/>
        <groupItems count="368">
          <s v="&lt;31.01.2026"/>
          <s v="01.janv"/>
          <s v="02.janv"/>
          <s v="03.janv"/>
          <s v="04.janv"/>
          <s v="05.janv"/>
          <s v="06.janv"/>
          <s v="07.janv"/>
          <s v="08.janv"/>
          <s v="09.janv"/>
          <s v="10.janv"/>
          <s v="11.janv"/>
          <s v="12.janv"/>
          <s v="13.janv"/>
          <s v="14.janv"/>
          <s v="15.janv"/>
          <s v="16.janv"/>
          <s v="17.janv"/>
          <s v="18.janv"/>
          <s v="19.janv"/>
          <s v="20.janv"/>
          <s v="21.janv"/>
          <s v="22.janv"/>
          <s v="23.janv"/>
          <s v="24.janv"/>
          <s v="25.janv"/>
          <s v="26.janv"/>
          <s v="27.janv"/>
          <s v="28.janv"/>
          <s v="29.janv"/>
          <s v="30.janv"/>
          <s v="31.janv"/>
          <s v="01.févr"/>
          <s v="02.févr"/>
          <s v="03.févr"/>
          <s v="04.févr"/>
          <s v="05.févr"/>
          <s v="06.févr"/>
          <s v="07.févr"/>
          <s v="08.févr"/>
          <s v="09.févr"/>
          <s v="10.févr"/>
          <s v="11.févr"/>
          <s v="12.févr"/>
          <s v="13.févr"/>
          <s v="14.févr"/>
          <s v="15.févr"/>
          <s v="16.févr"/>
          <s v="17.févr"/>
          <s v="18.févr"/>
          <s v="19.févr"/>
          <s v="20.févr"/>
          <s v="21.févr"/>
          <s v="22.févr"/>
          <s v="23.févr"/>
          <s v="24.févr"/>
          <s v="25.févr"/>
          <s v="26.févr"/>
          <s v="27.févr"/>
          <s v="28.févr"/>
          <s v="29.févr"/>
          <s v="01.mars"/>
          <s v="02.mars"/>
          <s v="03.mars"/>
          <s v="04.mars"/>
          <s v="05.mars"/>
          <s v="06.mars"/>
          <s v="07.mars"/>
          <s v="08.mars"/>
          <s v="09.mars"/>
          <s v="10.mars"/>
          <s v="11.mars"/>
          <s v="12.mars"/>
          <s v="13.mars"/>
          <s v="14.mars"/>
          <s v="15.mars"/>
          <s v="16.mars"/>
          <s v="17.mars"/>
          <s v="18.mars"/>
          <s v="19.mars"/>
          <s v="20.mars"/>
          <s v="21.mars"/>
          <s v="22.mars"/>
          <s v="23.mars"/>
          <s v="24.mars"/>
          <s v="25.mars"/>
          <s v="26.mars"/>
          <s v="27.mars"/>
          <s v="28.mars"/>
          <s v="29.mars"/>
          <s v="30.mars"/>
          <s v="31.mars"/>
          <s v="01.avr"/>
          <s v="02.avr"/>
          <s v="03.avr"/>
          <s v="04.avr"/>
          <s v="05.avr"/>
          <s v="06.avr"/>
          <s v="07.avr"/>
          <s v="08.avr"/>
          <s v="09.avr"/>
          <s v="10.avr"/>
          <s v="11.avr"/>
          <s v="12.avr"/>
          <s v="13.avr"/>
          <s v="14.avr"/>
          <s v="15.avr"/>
          <s v="16.avr"/>
          <s v="17.avr"/>
          <s v="18.avr"/>
          <s v="19.avr"/>
          <s v="20.avr"/>
          <s v="21.avr"/>
          <s v="22.avr"/>
          <s v="23.avr"/>
          <s v="24.avr"/>
          <s v="25.avr"/>
          <s v="26.avr"/>
          <s v="27.avr"/>
          <s v="28.avr"/>
          <s v="29.avr"/>
          <s v="30.avr"/>
          <s v="01.mai"/>
          <s v="02.mai"/>
          <s v="03.mai"/>
          <s v="04.mai"/>
          <s v="05.mai"/>
          <s v="06.mai"/>
          <s v="07.mai"/>
          <s v="08.mai"/>
          <s v="09.mai"/>
          <s v="10.mai"/>
          <s v="11.mai"/>
          <s v="12.mai"/>
          <s v="13.mai"/>
          <s v="14.mai"/>
          <s v="15.mai"/>
          <s v="16.mai"/>
          <s v="17.mai"/>
          <s v="18.mai"/>
          <s v="19.mai"/>
          <s v="20.mai"/>
          <s v="21.mai"/>
          <s v="22.mai"/>
          <s v="23.mai"/>
          <s v="24.mai"/>
          <s v="25.mai"/>
          <s v="26.mai"/>
          <s v="27.mai"/>
          <s v="28.mai"/>
          <s v="29.mai"/>
          <s v="30.mai"/>
          <s v="31.mai"/>
          <s v="01.juin"/>
          <s v="02.juin"/>
          <s v="03.juin"/>
          <s v="04.juin"/>
          <s v="05.juin"/>
          <s v="06.juin"/>
          <s v="07.juin"/>
          <s v="08.juin"/>
          <s v="09.juin"/>
          <s v="10.juin"/>
          <s v="11.juin"/>
          <s v="12.juin"/>
          <s v="13.juin"/>
          <s v="14.juin"/>
          <s v="15.juin"/>
          <s v="16.juin"/>
          <s v="17.juin"/>
          <s v="18.juin"/>
          <s v="19.juin"/>
          <s v="20.juin"/>
          <s v="21.juin"/>
          <s v="22.juin"/>
          <s v="23.juin"/>
          <s v="24.juin"/>
          <s v="25.juin"/>
          <s v="26.juin"/>
          <s v="27.juin"/>
          <s v="28.juin"/>
          <s v="29.juin"/>
          <s v="30.juin"/>
          <s v="01.juil"/>
          <s v="02.juil"/>
          <s v="03.juil"/>
          <s v="04.juil"/>
          <s v="05.juil"/>
          <s v="06.juil"/>
          <s v="07.juil"/>
          <s v="08.juil"/>
          <s v="09.juil"/>
          <s v="10.juil"/>
          <s v="11.juil"/>
          <s v="12.juil"/>
          <s v="13.juil"/>
          <s v="14.juil"/>
          <s v="15.juil"/>
          <s v="16.juil"/>
          <s v="17.juil"/>
          <s v="18.juil"/>
          <s v="19.juil"/>
          <s v="20.juil"/>
          <s v="21.juil"/>
          <s v="22.juil"/>
          <s v="23.juil"/>
          <s v="24.juil"/>
          <s v="25.juil"/>
          <s v="26.juil"/>
          <s v="27.juil"/>
          <s v="28.juil"/>
          <s v="29.juil"/>
          <s v="30.juil"/>
          <s v="31.juil"/>
          <s v="01.août"/>
          <s v="02.août"/>
          <s v="03.août"/>
          <s v="04.août"/>
          <s v="05.août"/>
          <s v="06.août"/>
          <s v="07.août"/>
          <s v="08.août"/>
          <s v="09.août"/>
          <s v="10.août"/>
          <s v="11.août"/>
          <s v="12.août"/>
          <s v="13.août"/>
          <s v="14.août"/>
          <s v="15.août"/>
          <s v="16.août"/>
          <s v="17.août"/>
          <s v="18.août"/>
          <s v="19.août"/>
          <s v="20.août"/>
          <s v="21.août"/>
          <s v="22.août"/>
          <s v="23.août"/>
          <s v="24.août"/>
          <s v="25.août"/>
          <s v="26.août"/>
          <s v="27.août"/>
          <s v="28.août"/>
          <s v="29.août"/>
          <s v="30.août"/>
          <s v="31.août"/>
          <s v="01.sept"/>
          <s v="02.sept"/>
          <s v="03.sept"/>
          <s v="04.sept"/>
          <s v="05.sept"/>
          <s v="06.sept"/>
          <s v="07.sept"/>
          <s v="08.sept"/>
          <s v="09.sept"/>
          <s v="10.sept"/>
          <s v="11.sept"/>
          <s v="12.sept"/>
          <s v="13.sept"/>
          <s v="14.sept"/>
          <s v="15.sept"/>
          <s v="16.sept"/>
          <s v="17.sept"/>
          <s v="18.sept"/>
          <s v="19.sept"/>
          <s v="20.sept"/>
          <s v="21.sept"/>
          <s v="22.sept"/>
          <s v="23.sept"/>
          <s v="24.sept"/>
          <s v="25.sept"/>
          <s v="26.sept"/>
          <s v="27.sept"/>
          <s v="28.sept"/>
          <s v="29.sept"/>
          <s v="30.sept"/>
          <s v="01.oct"/>
          <s v="02.oct"/>
          <s v="03.oct"/>
          <s v="04.oct"/>
          <s v="05.oct"/>
          <s v="06.oct"/>
          <s v="07.oct"/>
          <s v="08.oct"/>
          <s v="09.oct"/>
          <s v="10.oct"/>
          <s v="11.oct"/>
          <s v="12.oct"/>
          <s v="13.oct"/>
          <s v="14.oct"/>
          <s v="15.oct"/>
          <s v="16.oct"/>
          <s v="17.oct"/>
          <s v="18.oct"/>
          <s v="19.oct"/>
          <s v="20.oct"/>
          <s v="21.oct"/>
          <s v="22.oct"/>
          <s v="23.oct"/>
          <s v="24.oct"/>
          <s v="25.oct"/>
          <s v="26.oct"/>
          <s v="27.oct"/>
          <s v="28.oct"/>
          <s v="29.oct"/>
          <s v="30.oct"/>
          <s v="31.oct"/>
          <s v="01.nov"/>
          <s v="02.nov"/>
          <s v="03.nov"/>
          <s v="04.nov"/>
          <s v="05.nov"/>
          <s v="06.nov"/>
          <s v="07.nov"/>
          <s v="08.nov"/>
          <s v="09.nov"/>
          <s v="10.nov"/>
          <s v="11.nov"/>
          <s v="12.nov"/>
          <s v="13.nov"/>
          <s v="14.nov"/>
          <s v="15.nov"/>
          <s v="16.nov"/>
          <s v="17.nov"/>
          <s v="18.nov"/>
          <s v="19.nov"/>
          <s v="20.nov"/>
          <s v="21.nov"/>
          <s v="22.nov"/>
          <s v="23.nov"/>
          <s v="24.nov"/>
          <s v="25.nov"/>
          <s v="26.nov"/>
          <s v="27.nov"/>
          <s v="28.nov"/>
          <s v="29.nov"/>
          <s v="30.nov"/>
          <s v="01.déc"/>
          <s v="02.déc"/>
          <s v="03.déc"/>
          <s v="04.déc"/>
          <s v="05.déc"/>
          <s v="06.déc"/>
          <s v="07.déc"/>
          <s v="08.déc"/>
          <s v="09.déc"/>
          <s v="10.déc"/>
          <s v="11.déc"/>
          <s v="12.déc"/>
          <s v="13.déc"/>
          <s v="14.déc"/>
          <s v="15.déc"/>
          <s v="16.déc"/>
          <s v="17.déc"/>
          <s v="18.déc"/>
          <s v="19.déc"/>
          <s v="20.déc"/>
          <s v="21.déc"/>
          <s v="22.déc"/>
          <s v="23.déc"/>
          <s v="24.déc"/>
          <s v="25.déc"/>
          <s v="26.déc"/>
          <s v="27.déc"/>
          <s v="28.déc"/>
          <s v="29.déc"/>
          <s v="30.déc"/>
          <s v="31.déc"/>
          <s v="&gt;01.01.2027"/>
        </groupItems>
      </fieldGroup>
    </cacheField>
    <cacheField name="Mois (Date)" numFmtId="0" databaseField="0">
      <fieldGroup base="2">
        <rangePr groupBy="months" startDate="2026-01-31T00:00:00" endDate="2027-01-01T00:00:00"/>
        <groupItems count="14">
          <s v="&lt;31.01.2026"/>
          <s v="janv"/>
          <s v="févr"/>
          <s v="mars"/>
          <s v="avr"/>
          <s v="mai"/>
          <s v="juin"/>
          <s v="juil"/>
          <s v="août"/>
          <s v="sept"/>
          <s v="oct"/>
          <s v="nov"/>
          <s v="déc"/>
          <s v="&gt;01.01.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x v="0"/>
  </r>
  <r>
    <x v="0"/>
    <x v="0"/>
    <x v="1"/>
    <x v="1"/>
  </r>
  <r>
    <x v="0"/>
    <x v="0"/>
    <x v="2"/>
    <x v="2"/>
  </r>
  <r>
    <x v="0"/>
    <x v="0"/>
    <x v="3"/>
    <x v="3"/>
  </r>
  <r>
    <x v="0"/>
    <x v="0"/>
    <x v="4"/>
    <x v="4"/>
  </r>
  <r>
    <x v="0"/>
    <x v="0"/>
    <x v="5"/>
    <x v="5"/>
  </r>
  <r>
    <x v="0"/>
    <x v="0"/>
    <x v="6"/>
    <x v="6"/>
  </r>
  <r>
    <x v="0"/>
    <x v="0"/>
    <x v="7"/>
    <x v="7"/>
  </r>
  <r>
    <x v="0"/>
    <x v="0"/>
    <x v="8"/>
    <x v="8"/>
  </r>
  <r>
    <x v="0"/>
    <x v="0"/>
    <x v="9"/>
    <x v="8"/>
  </r>
  <r>
    <x v="0"/>
    <x v="0"/>
    <x v="10"/>
    <x v="8"/>
  </r>
  <r>
    <x v="0"/>
    <x v="0"/>
    <x v="11"/>
    <x v="8"/>
  </r>
  <r>
    <x v="1"/>
    <x v="1"/>
    <x v="0"/>
    <x v="9"/>
  </r>
  <r>
    <x v="1"/>
    <x v="1"/>
    <x v="1"/>
    <x v="10"/>
  </r>
  <r>
    <x v="1"/>
    <x v="1"/>
    <x v="2"/>
    <x v="11"/>
  </r>
  <r>
    <x v="1"/>
    <x v="1"/>
    <x v="3"/>
    <x v="12"/>
  </r>
  <r>
    <x v="1"/>
    <x v="1"/>
    <x v="4"/>
    <x v="13"/>
  </r>
  <r>
    <x v="1"/>
    <x v="1"/>
    <x v="5"/>
    <x v="14"/>
  </r>
  <r>
    <x v="1"/>
    <x v="1"/>
    <x v="6"/>
    <x v="15"/>
  </r>
  <r>
    <x v="1"/>
    <x v="1"/>
    <x v="7"/>
    <x v="8"/>
  </r>
  <r>
    <x v="1"/>
    <x v="1"/>
    <x v="8"/>
    <x v="8"/>
  </r>
  <r>
    <x v="1"/>
    <x v="1"/>
    <x v="9"/>
    <x v="8"/>
  </r>
  <r>
    <x v="1"/>
    <x v="1"/>
    <x v="10"/>
    <x v="8"/>
  </r>
  <r>
    <x v="1"/>
    <x v="1"/>
    <x v="11"/>
    <x v="8"/>
  </r>
  <r>
    <x v="2"/>
    <x v="0"/>
    <x v="0"/>
    <x v="16"/>
  </r>
  <r>
    <x v="2"/>
    <x v="0"/>
    <x v="1"/>
    <x v="17"/>
  </r>
  <r>
    <x v="2"/>
    <x v="0"/>
    <x v="2"/>
    <x v="18"/>
  </r>
  <r>
    <x v="2"/>
    <x v="0"/>
    <x v="3"/>
    <x v="19"/>
  </r>
  <r>
    <x v="2"/>
    <x v="0"/>
    <x v="4"/>
    <x v="20"/>
  </r>
  <r>
    <x v="2"/>
    <x v="0"/>
    <x v="5"/>
    <x v="21"/>
  </r>
  <r>
    <x v="2"/>
    <x v="0"/>
    <x v="6"/>
    <x v="22"/>
  </r>
  <r>
    <x v="2"/>
    <x v="0"/>
    <x v="7"/>
    <x v="23"/>
  </r>
  <r>
    <x v="2"/>
    <x v="0"/>
    <x v="8"/>
    <x v="8"/>
  </r>
  <r>
    <x v="2"/>
    <x v="0"/>
    <x v="9"/>
    <x v="8"/>
  </r>
  <r>
    <x v="2"/>
    <x v="0"/>
    <x v="10"/>
    <x v="8"/>
  </r>
  <r>
    <x v="2"/>
    <x v="0"/>
    <x v="11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4DD02E-837C-429B-90E1-3825EDE2D0C9}" name="Tableau croisé dynamique1" cacheId="6" applyNumberFormats="0" applyBorderFormats="0" applyFontFormats="0" applyPatternFormats="0" applyAlignmentFormats="0" applyWidthHeightFormats="1" dataCaption="Valeurs" updatedVersion="8" minRefreshableVersion="3" useAutoFormatting="1" rowGrandTotals="0" colGrandTotals="0" itemPrintTitles="1" createdVersion="8" indent="0" outline="1" outlineData="1" multipleFieldFilters="0">
  <location ref="AE9:AI48" firstHeaderRow="0" firstDataRow="1" firstDataCol="1" rowPageCount="1" colPageCount="1"/>
  <pivotFields count="6">
    <pivotField axis="axisRow" showAll="0">
      <items count="4">
        <item x="0"/>
        <item x="2"/>
        <item x="1"/>
        <item t="default"/>
      </items>
    </pivotField>
    <pivotField axis="axisPage" showAll="0">
      <items count="3">
        <item x="0"/>
        <item x="1"/>
        <item t="default"/>
      </items>
    </pivotField>
    <pivotField axis="axisRow" numFmtId="172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>
      <items count="25">
        <item x="8"/>
        <item x="23"/>
        <item x="22"/>
        <item x="17"/>
        <item x="16"/>
        <item x="21"/>
        <item x="19"/>
        <item x="15"/>
        <item x="20"/>
        <item x="18"/>
        <item x="14"/>
        <item x="13"/>
        <item x="12"/>
        <item x="9"/>
        <item x="10"/>
        <item x="11"/>
        <item x="6"/>
        <item x="7"/>
        <item x="1"/>
        <item x="0"/>
        <item x="5"/>
        <item x="3"/>
        <item x="2"/>
        <item x="4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0"/>
    <field x="2"/>
  </rowFields>
  <rowItems count="3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" hier="-1"/>
  </pageFields>
  <dataFields count="4">
    <dataField name="Nombre" fld="3" baseField="0" baseItem="0" numFmtId="3"/>
    <dataField name="PCT" fld="3" baseField="0" baseItem="2" numFmtId="10">
      <extLst>
        <ext xmlns:x14="http://schemas.microsoft.com/office/spreadsheetml/2009/9/main" uri="{E15A36E0-9728-4e99-A89B-3F7291B0FE68}">
          <x14:dataField pivotShowAs="percentOfParent"/>
        </ext>
      </extLst>
    </dataField>
    <dataField name="  " fld="3" baseField="0" baseItem="2"/>
    <dataField name="Somme de Valeur2" fld="3" showDataAs="percentDiff" baseField="2" baseItem="1048828" numFmtId="174"/>
  </dataFields>
  <formats count="4">
    <format dxfId="93">
      <pivotArea dataOnly="0" labelOnly="1" fieldPosition="0">
        <references count="1">
          <reference field="0" count="1">
            <x v="0"/>
          </reference>
        </references>
      </pivotArea>
    </format>
    <format dxfId="92">
      <pivotArea dataOnly="0" labelOnly="1" fieldPosition="0">
        <references count="1">
          <reference field="0" count="1">
            <x v="2"/>
          </reference>
        </references>
      </pivotArea>
    </format>
    <format dxfId="91">
      <pivotArea dataOnly="0" labelOnly="1" fieldPosition="0">
        <references count="1">
          <reference field="0" count="1">
            <x v="1"/>
          </reference>
        </references>
      </pivotArea>
    </format>
    <format dxfId="9">
      <pivotArea outline="0" fieldPosition="0">
        <references count="1">
          <reference field="4294967294" count="1">
            <x v="3"/>
          </reference>
        </references>
      </pivotArea>
    </format>
  </formats>
  <pivotTableStyleInfo name="PivotStyleLight1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GGU-EPFL">
  <a:themeElements>
    <a:clrScheme name="GGU-SISB-Viridis-Rocket">
      <a:dk1>
        <a:sysClr val="windowText" lastClr="000000"/>
      </a:dk1>
      <a:lt1>
        <a:sysClr val="window" lastClr="FFFFFF"/>
      </a:lt1>
      <a:dk2>
        <a:srgbClr val="1F1128"/>
      </a:dk2>
      <a:lt2>
        <a:srgbClr val="E8E8E8"/>
      </a:lt2>
      <a:accent1>
        <a:srgbClr val="40163D"/>
      </a:accent1>
      <a:accent2>
        <a:srgbClr val="6B1748"/>
      </a:accent2>
      <a:accent3>
        <a:srgbClr val="9D1A47"/>
      </a:accent3>
      <a:accent4>
        <a:srgbClr val="CA2B3B"/>
      </a:accent4>
      <a:accent5>
        <a:srgbClr val="E8845C"/>
      </a:accent5>
      <a:accent6>
        <a:srgbClr val="EDB490"/>
      </a:accent6>
      <a:hlink>
        <a:srgbClr val="E0533B"/>
      </a:hlink>
      <a:folHlink>
        <a:srgbClr val="911F6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784EE-4521-4066-B144-E00BB8585E00}">
  <dimension ref="B7:AI56"/>
  <sheetViews>
    <sheetView showGridLines="0" tabSelected="1" zoomScale="70" zoomScaleNormal="70" workbookViewId="0">
      <selection activeCell="W52" sqref="W52"/>
    </sheetView>
  </sheetViews>
  <sheetFormatPr baseColWidth="10" defaultRowHeight="15.95" customHeight="1" x14ac:dyDescent="0.2"/>
  <cols>
    <col min="2" max="2" width="16.6640625" customWidth="1"/>
    <col min="4" max="5" width="40.5" customWidth="1"/>
    <col min="20" max="20" width="17.6640625" customWidth="1"/>
    <col min="21" max="21" width="21.6640625" customWidth="1"/>
    <col min="22" max="22" width="24.1640625" customWidth="1"/>
    <col min="23" max="23" width="23.1640625" customWidth="1"/>
    <col min="24" max="25" width="12" style="13"/>
    <col min="26" max="26" width="59.33203125" style="13" bestFit="1" customWidth="1"/>
    <col min="27" max="27" width="11.5" style="13" customWidth="1"/>
    <col min="28" max="28" width="15.1640625" customWidth="1"/>
    <col min="29" max="29" width="18" customWidth="1"/>
    <col min="31" max="31" width="73.5" bestFit="1" customWidth="1"/>
    <col min="32" max="32" width="10.5" bestFit="1" customWidth="1"/>
    <col min="33" max="33" width="11" bestFit="1" customWidth="1"/>
    <col min="34" max="34" width="10" bestFit="1" customWidth="1"/>
    <col min="35" max="36" width="22.1640625" bestFit="1" customWidth="1"/>
  </cols>
  <sheetData>
    <row r="7" spans="2:35" ht="15.95" customHeight="1" x14ac:dyDescent="0.2">
      <c r="AE7" s="67" t="s">
        <v>58</v>
      </c>
      <c r="AF7" t="s">
        <v>66</v>
      </c>
    </row>
    <row r="8" spans="2:35" ht="15.95" customHeight="1" thickBot="1" x14ac:dyDescent="0.25"/>
    <row r="9" spans="2:35" ht="15.95" customHeight="1" thickBot="1" x14ac:dyDescent="0.25">
      <c r="B9" s="52" t="s">
        <v>0</v>
      </c>
      <c r="C9" s="52" t="s">
        <v>58</v>
      </c>
      <c r="D9" s="52" t="s">
        <v>1</v>
      </c>
      <c r="E9" s="53" t="s">
        <v>2</v>
      </c>
      <c r="F9" s="54">
        <v>46053</v>
      </c>
      <c r="G9" s="54">
        <v>46081</v>
      </c>
      <c r="H9" s="54">
        <v>46112</v>
      </c>
      <c r="I9" s="54">
        <v>46142</v>
      </c>
      <c r="J9" s="54">
        <v>46173</v>
      </c>
      <c r="K9" s="54">
        <v>46203</v>
      </c>
      <c r="L9" s="54">
        <v>46234</v>
      </c>
      <c r="M9" s="54">
        <v>46265</v>
      </c>
      <c r="N9" s="54">
        <v>46295</v>
      </c>
      <c r="O9" s="54">
        <v>46326</v>
      </c>
      <c r="P9" s="54">
        <v>46356</v>
      </c>
      <c r="Q9" s="54">
        <v>46387</v>
      </c>
      <c r="T9" s="53" t="s">
        <v>64</v>
      </c>
      <c r="U9" s="53" t="s">
        <v>4</v>
      </c>
      <c r="V9" s="53" t="s">
        <v>33</v>
      </c>
      <c r="W9" s="53" t="s">
        <v>30</v>
      </c>
      <c r="X9" s="61"/>
      <c r="Y9" s="61"/>
      <c r="Z9" s="53" t="s">
        <v>1</v>
      </c>
      <c r="AA9" s="53" t="s">
        <v>58</v>
      </c>
      <c r="AB9" s="66" t="s">
        <v>64</v>
      </c>
      <c r="AC9" s="66" t="s">
        <v>65</v>
      </c>
      <c r="AE9" s="67" t="s">
        <v>67</v>
      </c>
      <c r="AF9" t="s">
        <v>70</v>
      </c>
      <c r="AG9" t="s">
        <v>69</v>
      </c>
      <c r="AH9" t="s">
        <v>71</v>
      </c>
      <c r="AI9" t="s">
        <v>68</v>
      </c>
    </row>
    <row r="10" spans="2:35" ht="15.95" customHeight="1" x14ac:dyDescent="0.2">
      <c r="B10" s="48" t="s">
        <v>3</v>
      </c>
      <c r="C10" s="49" t="s">
        <v>59</v>
      </c>
      <c r="D10" s="49" t="s">
        <v>4</v>
      </c>
      <c r="E10" s="49" t="s">
        <v>34</v>
      </c>
      <c r="F10" s="55">
        <v>151902</v>
      </c>
      <c r="G10" s="55">
        <v>50727</v>
      </c>
      <c r="H10" s="55">
        <v>175830</v>
      </c>
      <c r="I10" s="55">
        <v>172017</v>
      </c>
      <c r="J10" s="55">
        <v>210289</v>
      </c>
      <c r="K10" s="55">
        <v>169129</v>
      </c>
      <c r="L10" s="55">
        <v>28845</v>
      </c>
      <c r="M10" s="55">
        <v>39741</v>
      </c>
      <c r="N10" s="55"/>
      <c r="O10" s="55"/>
      <c r="P10" s="55"/>
      <c r="Q10" s="56"/>
      <c r="T10" s="62">
        <v>46053</v>
      </c>
      <c r="U10" s="63">
        <v>151902</v>
      </c>
      <c r="V10" s="63">
        <v>5252</v>
      </c>
      <c r="W10" s="63">
        <v>1505</v>
      </c>
      <c r="Z10" s="63" t="s">
        <v>4</v>
      </c>
      <c r="AA10" s="63" t="s">
        <v>59</v>
      </c>
      <c r="AB10" s="62">
        <v>46053</v>
      </c>
      <c r="AC10" s="72">
        <v>151902</v>
      </c>
      <c r="AE10" s="71" t="s">
        <v>4</v>
      </c>
      <c r="AF10" s="69">
        <v>998480</v>
      </c>
      <c r="AG10" s="70">
        <v>1</v>
      </c>
      <c r="AH10" s="68">
        <v>998480</v>
      </c>
      <c r="AI10" s="74"/>
    </row>
    <row r="11" spans="2:35" ht="15.95" customHeight="1" x14ac:dyDescent="0.2">
      <c r="B11" s="50" t="s">
        <v>32</v>
      </c>
      <c r="C11" s="51" t="s">
        <v>60</v>
      </c>
      <c r="D11" s="57" t="s">
        <v>33</v>
      </c>
      <c r="E11" s="57" t="s">
        <v>35</v>
      </c>
      <c r="F11" s="58">
        <v>5252</v>
      </c>
      <c r="G11" s="58">
        <v>7084</v>
      </c>
      <c r="H11" s="58">
        <v>7262</v>
      </c>
      <c r="I11" s="58">
        <v>5243</v>
      </c>
      <c r="J11" s="58">
        <v>4215</v>
      </c>
      <c r="K11" s="58">
        <v>3141</v>
      </c>
      <c r="L11" s="58">
        <v>1639</v>
      </c>
      <c r="M11" s="59"/>
      <c r="N11" s="59"/>
      <c r="O11" s="59"/>
      <c r="P11" s="59"/>
      <c r="Q11" s="60"/>
      <c r="T11" s="64">
        <v>46081</v>
      </c>
      <c r="U11" s="65">
        <v>50727</v>
      </c>
      <c r="V11" s="65">
        <v>7084</v>
      </c>
      <c r="W11" s="65">
        <v>1224</v>
      </c>
      <c r="Z11" s="65" t="s">
        <v>4</v>
      </c>
      <c r="AA11" s="65" t="s">
        <v>59</v>
      </c>
      <c r="AB11" s="64">
        <v>46081</v>
      </c>
      <c r="AC11" s="73">
        <v>50727</v>
      </c>
      <c r="AE11" s="75">
        <v>46053</v>
      </c>
      <c r="AF11" s="69">
        <v>151902</v>
      </c>
      <c r="AG11" s="70">
        <v>0.15213324252864355</v>
      </c>
      <c r="AH11" s="68">
        <v>151902</v>
      </c>
      <c r="AI11" s="74"/>
    </row>
    <row r="12" spans="2:35" ht="15.95" customHeight="1" x14ac:dyDescent="0.2">
      <c r="B12" s="50" t="s">
        <v>29</v>
      </c>
      <c r="C12" s="51" t="s">
        <v>59</v>
      </c>
      <c r="D12" s="57" t="s">
        <v>30</v>
      </c>
      <c r="E12" s="57" t="s">
        <v>31</v>
      </c>
      <c r="F12" s="58">
        <v>1505</v>
      </c>
      <c r="G12" s="58">
        <v>1224</v>
      </c>
      <c r="H12" s="58">
        <v>1970</v>
      </c>
      <c r="I12" s="58">
        <v>1546</v>
      </c>
      <c r="J12" s="58">
        <v>1667</v>
      </c>
      <c r="K12" s="58">
        <v>1518</v>
      </c>
      <c r="L12" s="58">
        <v>825</v>
      </c>
      <c r="M12" s="58">
        <v>792</v>
      </c>
      <c r="N12" s="59"/>
      <c r="O12" s="59"/>
      <c r="P12" s="59"/>
      <c r="Q12" s="60"/>
      <c r="T12" s="64">
        <v>46112</v>
      </c>
      <c r="U12" s="65">
        <v>175830</v>
      </c>
      <c r="V12" s="65">
        <v>7262</v>
      </c>
      <c r="W12" s="65">
        <v>1970</v>
      </c>
      <c r="Z12" s="65" t="s">
        <v>4</v>
      </c>
      <c r="AA12" s="65" t="s">
        <v>59</v>
      </c>
      <c r="AB12" s="64">
        <v>46112</v>
      </c>
      <c r="AC12" s="73">
        <v>175830</v>
      </c>
      <c r="AE12" s="75">
        <v>46081</v>
      </c>
      <c r="AF12" s="69">
        <v>50727</v>
      </c>
      <c r="AG12" s="70">
        <v>5.0804222418075473E-2</v>
      </c>
      <c r="AH12" s="68">
        <v>50727</v>
      </c>
      <c r="AI12" s="74">
        <v>-0.66605442982975871</v>
      </c>
    </row>
    <row r="13" spans="2:35" ht="15.95" customHeight="1" x14ac:dyDescent="0.2">
      <c r="T13" s="64">
        <v>46142</v>
      </c>
      <c r="U13" s="65">
        <v>172017</v>
      </c>
      <c r="V13" s="65">
        <v>5243</v>
      </c>
      <c r="W13" s="65">
        <v>1546</v>
      </c>
      <c r="Z13" s="65" t="s">
        <v>4</v>
      </c>
      <c r="AA13" s="65" t="s">
        <v>59</v>
      </c>
      <c r="AB13" s="64">
        <v>46142</v>
      </c>
      <c r="AC13" s="73">
        <v>172017</v>
      </c>
      <c r="AE13" s="75">
        <v>46112</v>
      </c>
      <c r="AF13" s="69">
        <v>175830</v>
      </c>
      <c r="AG13" s="70">
        <v>0.17609766845605321</v>
      </c>
      <c r="AH13" s="68">
        <v>175830</v>
      </c>
      <c r="AI13" s="74">
        <v>2.4662014311904903</v>
      </c>
    </row>
    <row r="14" spans="2:35" ht="15.95" customHeight="1" x14ac:dyDescent="0.2">
      <c r="T14" s="64">
        <v>46173</v>
      </c>
      <c r="U14" s="65">
        <v>210289</v>
      </c>
      <c r="V14" s="65">
        <v>4215</v>
      </c>
      <c r="W14" s="65">
        <v>1667</v>
      </c>
      <c r="Z14" s="65" t="s">
        <v>4</v>
      </c>
      <c r="AA14" s="65" t="s">
        <v>59</v>
      </c>
      <c r="AB14" s="64">
        <v>46173</v>
      </c>
      <c r="AC14" s="73">
        <v>210289</v>
      </c>
      <c r="AE14" s="75">
        <v>46142</v>
      </c>
      <c r="AF14" s="69">
        <v>172017</v>
      </c>
      <c r="AG14" s="70">
        <v>0.17227886387308708</v>
      </c>
      <c r="AH14" s="68">
        <v>172017</v>
      </c>
      <c r="AI14" s="74">
        <v>-2.1685719160552806E-2</v>
      </c>
    </row>
    <row r="15" spans="2:35" ht="15.95" customHeight="1" x14ac:dyDescent="0.2">
      <c r="G15" s="41" t="s">
        <v>61</v>
      </c>
      <c r="H15" s="27"/>
      <c r="I15" s="27"/>
      <c r="J15" s="27"/>
      <c r="T15" s="64">
        <v>46203</v>
      </c>
      <c r="U15" s="65">
        <v>169129</v>
      </c>
      <c r="V15" s="65">
        <v>3141</v>
      </c>
      <c r="W15" s="65">
        <v>1518</v>
      </c>
      <c r="Z15" s="65" t="s">
        <v>4</v>
      </c>
      <c r="AA15" s="65" t="s">
        <v>59</v>
      </c>
      <c r="AB15" s="64">
        <v>46203</v>
      </c>
      <c r="AC15" s="73">
        <v>169129</v>
      </c>
      <c r="AE15" s="75">
        <v>46173</v>
      </c>
      <c r="AF15" s="69">
        <v>210289</v>
      </c>
      <c r="AG15" s="70">
        <v>0.21060912587132441</v>
      </c>
      <c r="AH15" s="68">
        <v>210289</v>
      </c>
      <c r="AI15" s="74">
        <v>0.22248963765209254</v>
      </c>
    </row>
    <row r="16" spans="2:35" ht="15.95" customHeight="1" x14ac:dyDescent="0.2">
      <c r="D16" s="28" t="s">
        <v>37</v>
      </c>
      <c r="E16" s="30">
        <f>MIN(F9:Q9)</f>
        <v>46053</v>
      </c>
      <c r="G16" s="42" t="str">
        <f ca="1">_xlfn.FORMULATEXT(E16)</f>
        <v>=MIN(F9:Q9)</v>
      </c>
      <c r="T16" s="64">
        <v>46234</v>
      </c>
      <c r="U16" s="65">
        <v>28845</v>
      </c>
      <c r="V16" s="65">
        <v>1639</v>
      </c>
      <c r="W16" s="65">
        <v>825</v>
      </c>
      <c r="Z16" s="65" t="s">
        <v>4</v>
      </c>
      <c r="AA16" s="65" t="s">
        <v>59</v>
      </c>
      <c r="AB16" s="64">
        <v>46234</v>
      </c>
      <c r="AC16" s="73">
        <v>28845</v>
      </c>
      <c r="AE16" s="75">
        <v>46203</v>
      </c>
      <c r="AF16" s="69">
        <v>169129</v>
      </c>
      <c r="AG16" s="70">
        <v>0.16938646743049435</v>
      </c>
      <c r="AH16" s="68">
        <v>169129</v>
      </c>
      <c r="AI16" s="74">
        <v>-0.19573063736096516</v>
      </c>
    </row>
    <row r="17" spans="4:35" ht="15.95" customHeight="1" x14ac:dyDescent="0.2">
      <c r="D17" s="28" t="s">
        <v>38</v>
      </c>
      <c r="E17" s="30">
        <f>MAX(F9:Q9)</f>
        <v>46387</v>
      </c>
      <c r="G17" s="42" t="str">
        <f t="shared" ref="G17:G56" ca="1" si="0">_xlfn.FORMULATEXT(E17)</f>
        <v>=MAX(F9:Q9)</v>
      </c>
      <c r="T17" s="64">
        <v>46265</v>
      </c>
      <c r="U17" s="65">
        <v>39741</v>
      </c>
      <c r="V17" s="65">
        <v>0</v>
      </c>
      <c r="W17" s="65">
        <v>792</v>
      </c>
      <c r="Z17" s="65" t="s">
        <v>4</v>
      </c>
      <c r="AA17" s="65" t="s">
        <v>59</v>
      </c>
      <c r="AB17" s="64">
        <v>46265</v>
      </c>
      <c r="AC17" s="73">
        <v>39741</v>
      </c>
      <c r="AE17" s="75">
        <v>46234</v>
      </c>
      <c r="AF17" s="69">
        <v>28845</v>
      </c>
      <c r="AG17" s="70">
        <v>2.888891114494031E-2</v>
      </c>
      <c r="AH17" s="68">
        <v>28845</v>
      </c>
      <c r="AI17" s="74">
        <v>-0.82944970998468626</v>
      </c>
    </row>
    <row r="18" spans="4:35" ht="15.95" customHeight="1" x14ac:dyDescent="0.2">
      <c r="D18" s="15"/>
      <c r="E18" s="14"/>
      <c r="G18" s="42"/>
      <c r="T18" s="64">
        <v>46295</v>
      </c>
      <c r="U18" s="65">
        <v>0</v>
      </c>
      <c r="V18" s="65">
        <v>0</v>
      </c>
      <c r="W18" s="65">
        <v>0</v>
      </c>
      <c r="Z18" s="65" t="s">
        <v>4</v>
      </c>
      <c r="AA18" s="65" t="s">
        <v>59</v>
      </c>
      <c r="AB18" s="64">
        <v>46295</v>
      </c>
      <c r="AC18" s="73">
        <v>0</v>
      </c>
      <c r="AE18" s="75">
        <v>46265</v>
      </c>
      <c r="AF18" s="69">
        <v>39741</v>
      </c>
      <c r="AG18" s="70">
        <v>3.9801498277381622E-2</v>
      </c>
      <c r="AH18" s="68">
        <v>39741</v>
      </c>
      <c r="AI18" s="74">
        <v>0.37774310972438896</v>
      </c>
    </row>
    <row r="19" spans="4:35" ht="15.95" customHeight="1" x14ac:dyDescent="0.2">
      <c r="D19" s="28" t="s">
        <v>47</v>
      </c>
      <c r="E19" s="31">
        <f>COUNTA(F9:Q9)</f>
        <v>12</v>
      </c>
      <c r="G19" s="42" t="str">
        <f t="shared" ca="1" si="0"/>
        <v>=NBVAL(F9:Q9)</v>
      </c>
      <c r="H19" s="29"/>
      <c r="T19" s="64">
        <v>46326</v>
      </c>
      <c r="U19" s="65">
        <v>0</v>
      </c>
      <c r="V19" s="65">
        <v>0</v>
      </c>
      <c r="W19" s="65">
        <v>0</v>
      </c>
      <c r="Z19" s="65" t="s">
        <v>4</v>
      </c>
      <c r="AA19" s="65" t="s">
        <v>59</v>
      </c>
      <c r="AB19" s="64">
        <v>46326</v>
      </c>
      <c r="AC19" s="73">
        <v>0</v>
      </c>
      <c r="AE19" s="75">
        <v>46295</v>
      </c>
      <c r="AF19" s="69">
        <v>0</v>
      </c>
      <c r="AG19" s="70">
        <v>0</v>
      </c>
      <c r="AH19" s="68">
        <v>0</v>
      </c>
      <c r="AI19" s="74">
        <v>-1</v>
      </c>
    </row>
    <row r="20" spans="4:35" ht="15.95" customHeight="1" x14ac:dyDescent="0.2">
      <c r="D20" s="15"/>
      <c r="E20" s="14"/>
      <c r="G20" s="42"/>
      <c r="T20" s="64">
        <v>46356</v>
      </c>
      <c r="U20" s="65">
        <v>0</v>
      </c>
      <c r="V20" s="65">
        <v>0</v>
      </c>
      <c r="W20" s="65">
        <v>0</v>
      </c>
      <c r="Z20" s="65" t="s">
        <v>4</v>
      </c>
      <c r="AA20" s="65" t="s">
        <v>59</v>
      </c>
      <c r="AB20" s="64">
        <v>46356</v>
      </c>
      <c r="AC20" s="73">
        <v>0</v>
      </c>
      <c r="AE20" s="75">
        <v>46326</v>
      </c>
      <c r="AF20" s="69">
        <v>0</v>
      </c>
      <c r="AG20" s="70">
        <v>0</v>
      </c>
      <c r="AH20" s="68">
        <v>0</v>
      </c>
      <c r="AI20" s="74" t="e">
        <v>#DIV/0!</v>
      </c>
    </row>
    <row r="21" spans="4:35" ht="15.95" customHeight="1" x14ac:dyDescent="0.2">
      <c r="D21" s="15"/>
      <c r="E21" s="14"/>
      <c r="G21" s="42"/>
      <c r="T21" s="64">
        <v>46387</v>
      </c>
      <c r="U21" s="65">
        <v>0</v>
      </c>
      <c r="V21" s="65">
        <v>0</v>
      </c>
      <c r="W21" s="65">
        <v>0</v>
      </c>
      <c r="Z21" s="65" t="s">
        <v>4</v>
      </c>
      <c r="AA21" s="65" t="s">
        <v>59</v>
      </c>
      <c r="AB21" s="64">
        <v>46387</v>
      </c>
      <c r="AC21" s="73">
        <v>0</v>
      </c>
      <c r="AE21" s="75">
        <v>46356</v>
      </c>
      <c r="AF21" s="69">
        <v>0</v>
      </c>
      <c r="AG21" s="70">
        <v>0</v>
      </c>
      <c r="AH21" s="68">
        <v>0</v>
      </c>
      <c r="AI21" s="74" t="e">
        <v>#DIV/0!</v>
      </c>
    </row>
    <row r="22" spans="4:35" ht="15.95" customHeight="1" x14ac:dyDescent="0.2">
      <c r="D22" s="14" t="s">
        <v>39</v>
      </c>
      <c r="E22" s="14"/>
      <c r="G22" s="42"/>
      <c r="Z22" s="65" t="s">
        <v>33</v>
      </c>
      <c r="AA22" s="65" t="s">
        <v>60</v>
      </c>
      <c r="AB22" s="64">
        <v>46053</v>
      </c>
      <c r="AC22" s="73">
        <v>5252</v>
      </c>
      <c r="AE22" s="75">
        <v>46387</v>
      </c>
      <c r="AF22" s="69">
        <v>0</v>
      </c>
      <c r="AG22" s="70">
        <v>0</v>
      </c>
      <c r="AH22" s="68">
        <v>0</v>
      </c>
      <c r="AI22" s="74" t="e">
        <v>#DIV/0!</v>
      </c>
    </row>
    <row r="23" spans="4:35" ht="15.95" customHeight="1" x14ac:dyDescent="0.2">
      <c r="D23" s="16" t="s">
        <v>40</v>
      </c>
      <c r="E23" s="32">
        <f>MAX(F10:Q10)</f>
        <v>210289</v>
      </c>
      <c r="G23" s="42" t="str">
        <f t="shared" ca="1" si="0"/>
        <v>=MAX(F10:Q10)</v>
      </c>
      <c r="Z23" s="65" t="s">
        <v>33</v>
      </c>
      <c r="AA23" s="65" t="s">
        <v>60</v>
      </c>
      <c r="AB23" s="64">
        <v>46081</v>
      </c>
      <c r="AC23" s="73">
        <v>7084</v>
      </c>
      <c r="AE23" s="71" t="s">
        <v>30</v>
      </c>
      <c r="AF23" s="69">
        <v>11047</v>
      </c>
      <c r="AG23" s="70">
        <v>1</v>
      </c>
      <c r="AH23" s="68">
        <v>11047</v>
      </c>
      <c r="AI23" s="74"/>
    </row>
    <row r="24" spans="4:35" ht="15.95" customHeight="1" x14ac:dyDescent="0.2">
      <c r="D24" s="16" t="s">
        <v>41</v>
      </c>
      <c r="E24" s="32">
        <f>MAX(F11:Q11)</f>
        <v>7262</v>
      </c>
      <c r="G24" s="42" t="str">
        <f t="shared" ca="1" si="0"/>
        <v>=MAX(F11:Q11)</v>
      </c>
      <c r="Z24" s="65" t="s">
        <v>33</v>
      </c>
      <c r="AA24" s="65" t="s">
        <v>60</v>
      </c>
      <c r="AB24" s="64">
        <v>46112</v>
      </c>
      <c r="AC24" s="73">
        <v>7262</v>
      </c>
      <c r="AE24" s="75">
        <v>46053</v>
      </c>
      <c r="AF24" s="69">
        <v>1505</v>
      </c>
      <c r="AG24" s="70">
        <v>0.13623608219426089</v>
      </c>
      <c r="AH24" s="68">
        <v>1505</v>
      </c>
      <c r="AI24" s="74"/>
    </row>
    <row r="25" spans="4:35" ht="15.95" customHeight="1" x14ac:dyDescent="0.2">
      <c r="D25" s="16" t="s">
        <v>48</v>
      </c>
      <c r="E25" s="32">
        <f>MAX(F12:Q12)</f>
        <v>1970</v>
      </c>
      <c r="G25" s="42" t="str">
        <f t="shared" ca="1" si="0"/>
        <v>=MAX(F12:Q12)</v>
      </c>
      <c r="Z25" s="65" t="s">
        <v>33</v>
      </c>
      <c r="AA25" s="65" t="s">
        <v>60</v>
      </c>
      <c r="AB25" s="64">
        <v>46142</v>
      </c>
      <c r="AC25" s="73">
        <v>5243</v>
      </c>
      <c r="AE25" s="75">
        <v>46081</v>
      </c>
      <c r="AF25" s="69">
        <v>1224</v>
      </c>
      <c r="AG25" s="70">
        <v>0.1107993120304155</v>
      </c>
      <c r="AH25" s="68">
        <v>1224</v>
      </c>
      <c r="AI25" s="74">
        <v>-0.18671096345514951</v>
      </c>
    </row>
    <row r="26" spans="4:35" ht="15.95" customHeight="1" x14ac:dyDescent="0.2">
      <c r="D26" s="15"/>
      <c r="E26" s="43"/>
      <c r="G26" s="42"/>
      <c r="Z26" s="65" t="s">
        <v>33</v>
      </c>
      <c r="AA26" s="65" t="s">
        <v>60</v>
      </c>
      <c r="AB26" s="64">
        <v>46173</v>
      </c>
      <c r="AC26" s="73">
        <v>4215</v>
      </c>
      <c r="AE26" s="75">
        <v>46112</v>
      </c>
      <c r="AF26" s="69">
        <v>1970</v>
      </c>
      <c r="AG26" s="70">
        <v>0.17832895808816873</v>
      </c>
      <c r="AH26" s="68">
        <v>1970</v>
      </c>
      <c r="AI26" s="74">
        <v>0.60947712418300659</v>
      </c>
    </row>
    <row r="27" spans="4:35" ht="15.95" customHeight="1" x14ac:dyDescent="0.2">
      <c r="D27" s="14" t="s">
        <v>49</v>
      </c>
      <c r="E27" s="43"/>
      <c r="G27" s="42"/>
      <c r="Z27" s="65" t="s">
        <v>33</v>
      </c>
      <c r="AA27" s="65" t="s">
        <v>60</v>
      </c>
      <c r="AB27" s="64">
        <v>46203</v>
      </c>
      <c r="AC27" s="73">
        <v>3141</v>
      </c>
      <c r="AE27" s="75">
        <v>46142</v>
      </c>
      <c r="AF27" s="69">
        <v>1546</v>
      </c>
      <c r="AG27" s="70">
        <v>0.13994749705802481</v>
      </c>
      <c r="AH27" s="68">
        <v>1546</v>
      </c>
      <c r="AI27" s="74">
        <v>-0.21522842639593909</v>
      </c>
    </row>
    <row r="28" spans="4:35" ht="15.95" customHeight="1" x14ac:dyDescent="0.2">
      <c r="D28" s="16" t="s">
        <v>40</v>
      </c>
      <c r="E28" s="32">
        <f>AVERAGE(F10:Q10)</f>
        <v>124810</v>
      </c>
      <c r="G28" s="42" t="str">
        <f t="shared" ca="1" si="0"/>
        <v>=MOYENNE(F10:Q10)</v>
      </c>
      <c r="Z28" s="65" t="s">
        <v>33</v>
      </c>
      <c r="AA28" s="65" t="s">
        <v>60</v>
      </c>
      <c r="AB28" s="64">
        <v>46234</v>
      </c>
      <c r="AC28" s="73">
        <v>1639</v>
      </c>
      <c r="AE28" s="75">
        <v>46173</v>
      </c>
      <c r="AF28" s="69">
        <v>1667</v>
      </c>
      <c r="AG28" s="70">
        <v>0.15090069702181588</v>
      </c>
      <c r="AH28" s="68">
        <v>1667</v>
      </c>
      <c r="AI28" s="74">
        <v>7.8266494178525228E-2</v>
      </c>
    </row>
    <row r="29" spans="4:35" ht="15.95" customHeight="1" x14ac:dyDescent="0.2">
      <c r="D29" s="16" t="s">
        <v>41</v>
      </c>
      <c r="E29" s="32">
        <f t="shared" ref="E29:E30" si="1">AVERAGE(F11:Q11)</f>
        <v>4833.7142857142853</v>
      </c>
      <c r="G29" s="42" t="str">
        <f t="shared" ca="1" si="0"/>
        <v>=MOYENNE(F11:Q11)</v>
      </c>
      <c r="Z29" s="65" t="s">
        <v>33</v>
      </c>
      <c r="AA29" s="65" t="s">
        <v>60</v>
      </c>
      <c r="AB29" s="64">
        <v>46265</v>
      </c>
      <c r="AC29" s="73">
        <v>0</v>
      </c>
      <c r="AE29" s="75">
        <v>46203</v>
      </c>
      <c r="AF29" s="69">
        <v>1518</v>
      </c>
      <c r="AG29" s="70">
        <v>0.1374128722730153</v>
      </c>
      <c r="AH29" s="68">
        <v>1518</v>
      </c>
      <c r="AI29" s="74">
        <v>-8.9382123575284939E-2</v>
      </c>
    </row>
    <row r="30" spans="4:35" ht="15.95" customHeight="1" x14ac:dyDescent="0.2">
      <c r="D30" s="16" t="s">
        <v>48</v>
      </c>
      <c r="E30" s="32">
        <f t="shared" si="1"/>
        <v>1380.875</v>
      </c>
      <c r="G30" s="42" t="str">
        <f t="shared" ca="1" si="0"/>
        <v>=MOYENNE(F12:Q12)</v>
      </c>
      <c r="Z30" s="65" t="s">
        <v>33</v>
      </c>
      <c r="AA30" s="65" t="s">
        <v>60</v>
      </c>
      <c r="AB30" s="64">
        <v>46295</v>
      </c>
      <c r="AC30" s="73">
        <v>0</v>
      </c>
      <c r="AE30" s="75">
        <v>46234</v>
      </c>
      <c r="AF30" s="69">
        <v>825</v>
      </c>
      <c r="AG30" s="70">
        <v>7.4680908844030058E-2</v>
      </c>
      <c r="AH30" s="68">
        <v>825</v>
      </c>
      <c r="AI30" s="74">
        <v>-0.45652173913043476</v>
      </c>
    </row>
    <row r="31" spans="4:35" ht="15.95" customHeight="1" x14ac:dyDescent="0.2">
      <c r="D31" s="15"/>
      <c r="E31" s="43"/>
      <c r="G31" s="42"/>
      <c r="Z31" s="65" t="s">
        <v>33</v>
      </c>
      <c r="AA31" s="65" t="s">
        <v>60</v>
      </c>
      <c r="AB31" s="64">
        <v>46326</v>
      </c>
      <c r="AC31" s="73">
        <v>0</v>
      </c>
      <c r="AE31" s="75">
        <v>46265</v>
      </c>
      <c r="AF31" s="69">
        <v>792</v>
      </c>
      <c r="AG31" s="70">
        <v>7.1693672490268853E-2</v>
      </c>
      <c r="AH31" s="68">
        <v>792</v>
      </c>
      <c r="AI31" s="74">
        <v>-0.04</v>
      </c>
    </row>
    <row r="32" spans="4:35" ht="15.95" customHeight="1" x14ac:dyDescent="0.2">
      <c r="D32" s="14" t="s">
        <v>42</v>
      </c>
      <c r="E32" s="43"/>
      <c r="G32" s="42"/>
      <c r="Z32" s="65" t="s">
        <v>33</v>
      </c>
      <c r="AA32" s="65" t="s">
        <v>60</v>
      </c>
      <c r="AB32" s="64">
        <v>46356</v>
      </c>
      <c r="AC32" s="73">
        <v>0</v>
      </c>
      <c r="AE32" s="75">
        <v>46295</v>
      </c>
      <c r="AF32" s="69">
        <v>0</v>
      </c>
      <c r="AG32" s="70">
        <v>0</v>
      </c>
      <c r="AH32" s="68">
        <v>0</v>
      </c>
      <c r="AI32" s="74">
        <v>-1</v>
      </c>
    </row>
    <row r="33" spans="4:35" ht="15.95" customHeight="1" x14ac:dyDescent="0.2">
      <c r="D33" s="16" t="s">
        <v>40</v>
      </c>
      <c r="E33" s="32">
        <f>MEDIAN(F10:Q10)</f>
        <v>160515.5</v>
      </c>
      <c r="G33" s="42" t="str">
        <f t="shared" ca="1" si="0"/>
        <v>=MEDIANE(F10:Q10)</v>
      </c>
      <c r="Z33" s="65" t="s">
        <v>33</v>
      </c>
      <c r="AA33" s="65" t="s">
        <v>60</v>
      </c>
      <c r="AB33" s="64">
        <v>46387</v>
      </c>
      <c r="AC33" s="73">
        <v>0</v>
      </c>
      <c r="AE33" s="75">
        <v>46326</v>
      </c>
      <c r="AF33" s="69">
        <v>0</v>
      </c>
      <c r="AG33" s="70">
        <v>0</v>
      </c>
      <c r="AH33" s="68">
        <v>0</v>
      </c>
      <c r="AI33" s="74" t="e">
        <v>#DIV/0!</v>
      </c>
    </row>
    <row r="34" spans="4:35" ht="15.95" customHeight="1" x14ac:dyDescent="0.2">
      <c r="D34" s="16" t="s">
        <v>41</v>
      </c>
      <c r="E34" s="32">
        <f t="shared" ref="E34:E35" si="2">MEDIAN(F11:Q11)</f>
        <v>5243</v>
      </c>
      <c r="G34" s="42" t="str">
        <f t="shared" ca="1" si="0"/>
        <v>=MEDIANE(F11:Q11)</v>
      </c>
      <c r="Z34" s="65" t="s">
        <v>30</v>
      </c>
      <c r="AA34" s="65" t="s">
        <v>59</v>
      </c>
      <c r="AB34" s="64">
        <v>46053</v>
      </c>
      <c r="AC34" s="73">
        <v>1505</v>
      </c>
      <c r="AE34" s="75">
        <v>46356</v>
      </c>
      <c r="AF34" s="69">
        <v>0</v>
      </c>
      <c r="AG34" s="70">
        <v>0</v>
      </c>
      <c r="AH34" s="68">
        <v>0</v>
      </c>
      <c r="AI34" s="74" t="e">
        <v>#DIV/0!</v>
      </c>
    </row>
    <row r="35" spans="4:35" ht="15.95" customHeight="1" x14ac:dyDescent="0.2">
      <c r="D35" s="16" t="s">
        <v>48</v>
      </c>
      <c r="E35" s="32">
        <f t="shared" si="2"/>
        <v>1511.5</v>
      </c>
      <c r="G35" s="42" t="str">
        <f t="shared" ca="1" si="0"/>
        <v>=MEDIANE(F12:Q12)</v>
      </c>
      <c r="Z35" s="65" t="s">
        <v>30</v>
      </c>
      <c r="AA35" s="65" t="s">
        <v>59</v>
      </c>
      <c r="AB35" s="64">
        <v>46081</v>
      </c>
      <c r="AC35" s="73">
        <v>1224</v>
      </c>
      <c r="AE35" s="75">
        <v>46387</v>
      </c>
      <c r="AF35" s="69">
        <v>0</v>
      </c>
      <c r="AG35" s="70">
        <v>0</v>
      </c>
      <c r="AH35" s="68">
        <v>0</v>
      </c>
      <c r="AI35" s="74" t="e">
        <v>#DIV/0!</v>
      </c>
    </row>
    <row r="36" spans="4:35" ht="15.95" customHeight="1" x14ac:dyDescent="0.2">
      <c r="D36" s="15"/>
      <c r="E36" s="43"/>
      <c r="G36" s="42"/>
      <c r="Z36" s="65" t="s">
        <v>30</v>
      </c>
      <c r="AA36" s="65" t="s">
        <v>59</v>
      </c>
      <c r="AB36" s="64">
        <v>46112</v>
      </c>
      <c r="AC36" s="73">
        <v>1970</v>
      </c>
      <c r="AE36" s="71" t="s">
        <v>33</v>
      </c>
      <c r="AF36" s="69">
        <v>33836</v>
      </c>
      <c r="AG36" s="70">
        <v>1</v>
      </c>
      <c r="AH36" s="68">
        <v>33836</v>
      </c>
      <c r="AI36" s="74"/>
    </row>
    <row r="37" spans="4:35" ht="15.95" customHeight="1" x14ac:dyDescent="0.2">
      <c r="D37" s="14" t="s">
        <v>43</v>
      </c>
      <c r="E37" s="43"/>
      <c r="G37" s="42"/>
      <c r="Z37" s="65" t="s">
        <v>30</v>
      </c>
      <c r="AA37" s="65" t="s">
        <v>59</v>
      </c>
      <c r="AB37" s="64">
        <v>46142</v>
      </c>
      <c r="AC37" s="73">
        <v>1546</v>
      </c>
      <c r="AE37" s="75">
        <v>46053</v>
      </c>
      <c r="AF37" s="69">
        <v>5252</v>
      </c>
      <c r="AG37" s="70">
        <v>0.15521929306064547</v>
      </c>
      <c r="AH37" s="68">
        <v>5252</v>
      </c>
      <c r="AI37" s="74"/>
    </row>
    <row r="38" spans="4:35" ht="15.95" customHeight="1" x14ac:dyDescent="0.2">
      <c r="D38" s="17" t="s">
        <v>51</v>
      </c>
      <c r="E38" s="44">
        <f>MAX(F10:Q10)</f>
        <v>210289</v>
      </c>
      <c r="G38" s="42" t="str">
        <f t="shared" ca="1" si="0"/>
        <v>=MAX(F10:Q10)</v>
      </c>
      <c r="Z38" s="65" t="s">
        <v>30</v>
      </c>
      <c r="AA38" s="65" t="s">
        <v>59</v>
      </c>
      <c r="AB38" s="64">
        <v>46173</v>
      </c>
      <c r="AC38" s="73">
        <v>1667</v>
      </c>
      <c r="AE38" s="75">
        <v>46081</v>
      </c>
      <c r="AF38" s="69">
        <v>7084</v>
      </c>
      <c r="AG38" s="70">
        <v>0.20936280884265279</v>
      </c>
      <c r="AH38" s="68">
        <v>7084</v>
      </c>
      <c r="AI38" s="74">
        <v>0.3488194973343488</v>
      </c>
    </row>
    <row r="39" spans="4:35" ht="15.95" customHeight="1" x14ac:dyDescent="0.2">
      <c r="D39" s="16" t="s">
        <v>50</v>
      </c>
      <c r="E39" s="47">
        <f>_xlfn.XLOOKUP(MAX(F10:Q10),F10:Q10,F9:Q9)</f>
        <v>46173</v>
      </c>
      <c r="G39" s="42" t="str">
        <f t="shared" ca="1" si="0"/>
        <v>=RECHERCHEX(MAX(F10:Q10);F10:Q10;F9:Q9)</v>
      </c>
      <c r="Z39" s="65" t="s">
        <v>30</v>
      </c>
      <c r="AA39" s="65" t="s">
        <v>59</v>
      </c>
      <c r="AB39" s="64">
        <v>46203</v>
      </c>
      <c r="AC39" s="73">
        <v>1518</v>
      </c>
      <c r="AE39" s="75">
        <v>46112</v>
      </c>
      <c r="AF39" s="69">
        <v>7262</v>
      </c>
      <c r="AG39" s="70">
        <v>0.21462347795247666</v>
      </c>
      <c r="AH39" s="68">
        <v>7262</v>
      </c>
      <c r="AI39" s="74">
        <v>2.51270468661773E-2</v>
      </c>
    </row>
    <row r="40" spans="4:35" ht="15.95" customHeight="1" x14ac:dyDescent="0.2">
      <c r="D40" s="15"/>
      <c r="E40" s="43"/>
      <c r="G40" s="42"/>
      <c r="Z40" s="65" t="s">
        <v>30</v>
      </c>
      <c r="AA40" s="65" t="s">
        <v>59</v>
      </c>
      <c r="AB40" s="64">
        <v>46234</v>
      </c>
      <c r="AC40" s="73">
        <v>825</v>
      </c>
      <c r="AE40" s="75">
        <v>46142</v>
      </c>
      <c r="AF40" s="69">
        <v>5243</v>
      </c>
      <c r="AG40" s="70">
        <v>0.1549533041730701</v>
      </c>
      <c r="AH40" s="68">
        <v>5243</v>
      </c>
      <c r="AI40" s="74">
        <v>-0.27802258331038282</v>
      </c>
    </row>
    <row r="41" spans="4:35" ht="15.95" customHeight="1" x14ac:dyDescent="0.2">
      <c r="D41" s="16" t="s">
        <v>52</v>
      </c>
      <c r="E41" s="32">
        <f>MAX(F11:Q11)</f>
        <v>7262</v>
      </c>
      <c r="G41" s="42" t="str">
        <f t="shared" ca="1" si="0"/>
        <v>=MAX(F11:Q11)</v>
      </c>
      <c r="Z41" s="65" t="s">
        <v>30</v>
      </c>
      <c r="AA41" s="65" t="s">
        <v>59</v>
      </c>
      <c r="AB41" s="64">
        <v>46265</v>
      </c>
      <c r="AC41" s="73">
        <v>792</v>
      </c>
      <c r="AE41" s="75">
        <v>46173</v>
      </c>
      <c r="AF41" s="69">
        <v>4215</v>
      </c>
      <c r="AG41" s="70">
        <v>0.12457146234779524</v>
      </c>
      <c r="AH41" s="68">
        <v>4215</v>
      </c>
      <c r="AI41" s="74">
        <v>-0.19607095174518405</v>
      </c>
    </row>
    <row r="42" spans="4:35" ht="15.95" customHeight="1" x14ac:dyDescent="0.2">
      <c r="D42" s="18" t="s">
        <v>53</v>
      </c>
      <c r="E42" s="47">
        <f>_xlfn.XLOOKUP(MAX(F11:Q11),F11:Q11,F9:Q9)</f>
        <v>46112</v>
      </c>
      <c r="G42" s="42" t="str">
        <f t="shared" ca="1" si="0"/>
        <v>=RECHERCHEX(MAX(F11:Q11);F11:Q11;F9:Q9)</v>
      </c>
      <c r="Z42" s="65" t="s">
        <v>30</v>
      </c>
      <c r="AA42" s="65" t="s">
        <v>59</v>
      </c>
      <c r="AB42" s="64">
        <v>46295</v>
      </c>
      <c r="AC42" s="73">
        <v>0</v>
      </c>
      <c r="AE42" s="75">
        <v>46203</v>
      </c>
      <c r="AF42" s="69">
        <v>3141</v>
      </c>
      <c r="AG42" s="70">
        <v>9.2830121763801871E-2</v>
      </c>
      <c r="AH42" s="68">
        <v>3141</v>
      </c>
      <c r="AI42" s="74">
        <v>-0.25480427046263343</v>
      </c>
    </row>
    <row r="43" spans="4:35" ht="15.95" customHeight="1" x14ac:dyDescent="0.2">
      <c r="D43" s="19"/>
      <c r="E43" s="45"/>
      <c r="G43" s="42"/>
      <c r="Z43" s="65" t="s">
        <v>30</v>
      </c>
      <c r="AA43" s="65" t="s">
        <v>59</v>
      </c>
      <c r="AB43" s="64">
        <v>46326</v>
      </c>
      <c r="AC43" s="73">
        <v>0</v>
      </c>
      <c r="AE43" s="75">
        <v>46234</v>
      </c>
      <c r="AF43" s="69">
        <v>1639</v>
      </c>
      <c r="AG43" s="70">
        <v>4.843953185955787E-2</v>
      </c>
      <c r="AH43" s="68">
        <v>1639</v>
      </c>
      <c r="AI43" s="74">
        <v>-0.47819165870741803</v>
      </c>
    </row>
    <row r="44" spans="4:35" ht="15.95" customHeight="1" x14ac:dyDescent="0.2">
      <c r="D44" s="16" t="s">
        <v>55</v>
      </c>
      <c r="E44" s="32">
        <f>MAX(F12:Q12)</f>
        <v>1970</v>
      </c>
      <c r="G44" s="42" t="str">
        <f t="shared" ca="1" si="0"/>
        <v>=MAX(F12:Q12)</v>
      </c>
      <c r="Z44" s="65" t="s">
        <v>30</v>
      </c>
      <c r="AA44" s="65" t="s">
        <v>59</v>
      </c>
      <c r="AB44" s="64">
        <v>46356</v>
      </c>
      <c r="AC44" s="73">
        <v>0</v>
      </c>
      <c r="AE44" s="75">
        <v>46265</v>
      </c>
      <c r="AF44" s="69">
        <v>0</v>
      </c>
      <c r="AG44" s="70">
        <v>0</v>
      </c>
      <c r="AH44" s="68">
        <v>0</v>
      </c>
      <c r="AI44" s="74">
        <v>-1</v>
      </c>
    </row>
    <row r="45" spans="4:35" ht="15.95" customHeight="1" x14ac:dyDescent="0.2">
      <c r="D45" s="18" t="s">
        <v>54</v>
      </c>
      <c r="E45" s="47">
        <f>_xlfn.XLOOKUP(MAX(F12:Q12),F12:Q12,F9:Q9)</f>
        <v>46112</v>
      </c>
      <c r="G45" s="42" t="str">
        <f t="shared" ca="1" si="0"/>
        <v>=RECHERCHEX(MAX(F12:Q12);F12:Q12;F9:Q9)</v>
      </c>
      <c r="Z45" s="65" t="s">
        <v>30</v>
      </c>
      <c r="AA45" s="65" t="s">
        <v>59</v>
      </c>
      <c r="AB45" s="64">
        <v>46387</v>
      </c>
      <c r="AC45" s="73">
        <v>0</v>
      </c>
      <c r="AE45" s="75">
        <v>46295</v>
      </c>
      <c r="AF45" s="69">
        <v>0</v>
      </c>
      <c r="AG45" s="70">
        <v>0</v>
      </c>
      <c r="AH45" s="68">
        <v>0</v>
      </c>
      <c r="AI45" s="74" t="e">
        <v>#DIV/0!</v>
      </c>
    </row>
    <row r="46" spans="4:35" ht="15.95" customHeight="1" x14ac:dyDescent="0.2">
      <c r="D46" s="19"/>
      <c r="E46" s="45"/>
      <c r="G46" s="42"/>
      <c r="AE46" s="75">
        <v>46326</v>
      </c>
      <c r="AF46" s="69">
        <v>0</v>
      </c>
      <c r="AG46" s="70">
        <v>0</v>
      </c>
      <c r="AH46" s="68">
        <v>0</v>
      </c>
      <c r="AI46" s="74" t="e">
        <v>#DIV/0!</v>
      </c>
    </row>
    <row r="47" spans="4:35" ht="15.95" customHeight="1" x14ac:dyDescent="0.2">
      <c r="D47" s="15"/>
      <c r="E47" s="43"/>
      <c r="G47" s="42"/>
      <c r="AE47" s="75">
        <v>46356</v>
      </c>
      <c r="AF47" s="69">
        <v>0</v>
      </c>
      <c r="AG47" s="70">
        <v>0</v>
      </c>
      <c r="AH47" s="68">
        <v>0</v>
      </c>
      <c r="AI47" s="74" t="e">
        <v>#DIV/0!</v>
      </c>
    </row>
    <row r="48" spans="4:35" ht="15.95" customHeight="1" x14ac:dyDescent="0.2">
      <c r="D48" s="14" t="s">
        <v>44</v>
      </c>
      <c r="E48" s="43"/>
      <c r="G48" s="42"/>
      <c r="AE48" s="75">
        <v>46387</v>
      </c>
      <c r="AF48" s="69">
        <v>0</v>
      </c>
      <c r="AG48" s="70">
        <v>0</v>
      </c>
      <c r="AH48" s="68">
        <v>0</v>
      </c>
      <c r="AI48" s="74" t="e">
        <v>#DIV/0!</v>
      </c>
    </row>
    <row r="49" spans="4:7" ht="15.95" customHeight="1" x14ac:dyDescent="0.2">
      <c r="D49" s="16" t="s">
        <v>45</v>
      </c>
      <c r="E49" s="32">
        <f>MIN(F10:Q10)</f>
        <v>28845</v>
      </c>
      <c r="G49" s="42" t="str">
        <f t="shared" ca="1" si="0"/>
        <v>=MIN(F10:Q10)</v>
      </c>
    </row>
    <row r="50" spans="4:7" ht="15.95" customHeight="1" x14ac:dyDescent="0.2">
      <c r="D50" s="16" t="s">
        <v>62</v>
      </c>
      <c r="E50" s="47">
        <f>_xlfn.XLOOKUP(E49,F10:Q10,F9:Q9)</f>
        <v>46234</v>
      </c>
      <c r="G50" s="42" t="str">
        <f t="shared" ca="1" si="0"/>
        <v>=RECHERCHEX(E49;F10:Q10;F9:Q9)</v>
      </c>
    </row>
    <row r="51" spans="4:7" ht="15.95" customHeight="1" x14ac:dyDescent="0.2">
      <c r="D51" s="15"/>
      <c r="E51" s="43"/>
      <c r="G51" s="42"/>
    </row>
    <row r="52" spans="4:7" ht="15.95" customHeight="1" x14ac:dyDescent="0.2">
      <c r="D52" s="16" t="s">
        <v>46</v>
      </c>
      <c r="E52" s="32">
        <f>MIN(F11:Q11)</f>
        <v>1639</v>
      </c>
      <c r="G52" s="42" t="str">
        <f t="shared" ca="1" si="0"/>
        <v>=MIN(F11:Q11)</v>
      </c>
    </row>
    <row r="53" spans="4:7" ht="15.95" customHeight="1" x14ac:dyDescent="0.2">
      <c r="D53" s="16" t="s">
        <v>63</v>
      </c>
      <c r="E53" s="47">
        <f>_xlfn.XLOOKUP(E52,F11:Q11,F9:Q9)</f>
        <v>46234</v>
      </c>
      <c r="G53" s="42" t="str">
        <f t="shared" ca="1" si="0"/>
        <v>=RECHERCHEX(E52;F11:Q11;F9:Q9)</v>
      </c>
    </row>
    <row r="54" spans="4:7" ht="15.95" customHeight="1" x14ac:dyDescent="0.2">
      <c r="E54" s="43"/>
      <c r="G54" s="42"/>
    </row>
    <row r="55" spans="4:7" ht="15.95" customHeight="1" x14ac:dyDescent="0.2">
      <c r="D55" s="16" t="s">
        <v>56</v>
      </c>
      <c r="E55" s="32">
        <f>MIN(F12:Q12)</f>
        <v>792</v>
      </c>
      <c r="G55" s="42" t="str">
        <f t="shared" ca="1" si="0"/>
        <v>=MIN(F12:Q12)</v>
      </c>
    </row>
    <row r="56" spans="4:7" ht="15.95" customHeight="1" x14ac:dyDescent="0.2">
      <c r="D56" s="18" t="s">
        <v>57</v>
      </c>
      <c r="E56" s="47">
        <f>_xlfn.XLOOKUP(E55,F12:Q12,F9:Q9)</f>
        <v>46265</v>
      </c>
      <c r="G56" s="42" t="str">
        <f t="shared" ca="1" si="0"/>
        <v>=RECHERCHEX(E55;F12:Q12;F9:Q9)</v>
      </c>
    </row>
  </sheetData>
  <dataValidations disablePrompts="1" count="1">
    <dataValidation errorStyle="information" operator="greaterThan" showErrorMessage="1" errorTitle="Message SISB" error="Veuillez entrer un nombre positif entier" promptTitle="Message SISB" prompt="veuillez entrer un nombre entier" sqref="F12:M12 F10:Q11" xr:uid="{D74A8522-B59C-49AC-AFE8-915566AACD15}"/>
  </dataValidation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99AE7-1086-4EC5-97AD-92E1DE7F4237}">
  <dimension ref="B8:Q56"/>
  <sheetViews>
    <sheetView showGridLines="0" zoomScale="85" zoomScaleNormal="85" workbookViewId="0">
      <selection activeCell="U10" sqref="U10"/>
    </sheetView>
  </sheetViews>
  <sheetFormatPr baseColWidth="10" defaultRowHeight="12" x14ac:dyDescent="0.2"/>
  <cols>
    <col min="2" max="2" width="16.6640625" customWidth="1"/>
    <col min="4" max="5" width="40.5" customWidth="1"/>
    <col min="19" max="19" width="86" customWidth="1"/>
  </cols>
  <sheetData>
    <row r="8" spans="2:17" ht="12.75" thickBot="1" x14ac:dyDescent="0.25"/>
    <row r="9" spans="2:17" ht="14.25" thickBot="1" x14ac:dyDescent="0.3">
      <c r="B9" s="39" t="s">
        <v>0</v>
      </c>
      <c r="C9" s="39" t="s">
        <v>58</v>
      </c>
      <c r="D9" s="39" t="s">
        <v>1</v>
      </c>
      <c r="E9" s="40" t="s">
        <v>2</v>
      </c>
      <c r="F9" s="46">
        <v>46053</v>
      </c>
      <c r="G9" s="46">
        <v>46081</v>
      </c>
      <c r="H9" s="46">
        <v>46112</v>
      </c>
      <c r="I9" s="46">
        <v>46142</v>
      </c>
      <c r="J9" s="46">
        <v>46173</v>
      </c>
      <c r="K9" s="46">
        <v>46203</v>
      </c>
      <c r="L9" s="46">
        <v>46234</v>
      </c>
      <c r="M9" s="46">
        <v>46265</v>
      </c>
      <c r="N9" s="46">
        <v>46295</v>
      </c>
      <c r="O9" s="46">
        <v>46326</v>
      </c>
      <c r="P9" s="46">
        <v>46356</v>
      </c>
      <c r="Q9" s="46">
        <v>46387</v>
      </c>
    </row>
    <row r="10" spans="2:17" ht="54" x14ac:dyDescent="0.2">
      <c r="B10" s="33" t="s">
        <v>3</v>
      </c>
      <c r="C10" s="34" t="s">
        <v>59</v>
      </c>
      <c r="D10" s="35" t="s">
        <v>4</v>
      </c>
      <c r="E10" s="36" t="s">
        <v>34</v>
      </c>
      <c r="F10" s="37">
        <v>151902</v>
      </c>
      <c r="G10" s="37">
        <v>50727</v>
      </c>
      <c r="H10" s="37">
        <v>175830</v>
      </c>
      <c r="I10" s="37">
        <v>172017</v>
      </c>
      <c r="J10" s="37">
        <v>210289</v>
      </c>
      <c r="K10" s="37">
        <v>169129</v>
      </c>
      <c r="L10" s="37">
        <v>28845</v>
      </c>
      <c r="M10" s="37">
        <v>39741</v>
      </c>
      <c r="N10" s="37"/>
      <c r="O10" s="37"/>
      <c r="P10" s="37"/>
      <c r="Q10" s="38"/>
    </row>
    <row r="11" spans="2:17" ht="54" x14ac:dyDescent="0.2">
      <c r="B11" s="25" t="s">
        <v>32</v>
      </c>
      <c r="C11" s="24" t="s">
        <v>60</v>
      </c>
      <c r="D11" s="22" t="s">
        <v>33</v>
      </c>
      <c r="E11" s="23" t="s">
        <v>35</v>
      </c>
      <c r="F11" s="20">
        <v>5252</v>
      </c>
      <c r="G11" s="20">
        <v>7084</v>
      </c>
      <c r="H11" s="20">
        <v>7262</v>
      </c>
      <c r="I11" s="20">
        <v>5243</v>
      </c>
      <c r="J11" s="20">
        <v>4215</v>
      </c>
      <c r="K11" s="20">
        <v>3141</v>
      </c>
      <c r="L11" s="20">
        <v>1639</v>
      </c>
      <c r="M11" s="21"/>
      <c r="N11" s="21"/>
      <c r="O11" s="21"/>
      <c r="P11" s="21"/>
      <c r="Q11" s="26"/>
    </row>
    <row r="12" spans="2:17" ht="27" x14ac:dyDescent="0.2">
      <c r="B12" s="25" t="s">
        <v>29</v>
      </c>
      <c r="C12" s="24" t="s">
        <v>59</v>
      </c>
      <c r="D12" s="22" t="s">
        <v>30</v>
      </c>
      <c r="E12" s="23" t="s">
        <v>31</v>
      </c>
      <c r="F12" s="20">
        <v>1505</v>
      </c>
      <c r="G12" s="20">
        <v>1224</v>
      </c>
      <c r="H12" s="20">
        <v>1970</v>
      </c>
      <c r="I12" s="20">
        <v>1546</v>
      </c>
      <c r="J12" s="20">
        <v>1667</v>
      </c>
      <c r="K12" s="20">
        <v>1518</v>
      </c>
      <c r="L12" s="20">
        <v>825</v>
      </c>
      <c r="M12" s="20">
        <v>792</v>
      </c>
      <c r="N12" s="21"/>
      <c r="O12" s="21"/>
      <c r="P12" s="21"/>
      <c r="Q12" s="26"/>
    </row>
    <row r="15" spans="2:17" x14ac:dyDescent="0.2">
      <c r="G15" s="41" t="s">
        <v>61</v>
      </c>
      <c r="H15" s="27"/>
      <c r="I15" s="27"/>
      <c r="J15" s="27"/>
    </row>
    <row r="16" spans="2:17" x14ac:dyDescent="0.2">
      <c r="D16" s="28" t="s">
        <v>37</v>
      </c>
      <c r="E16" s="30">
        <f>MIN(F9:Q9)</f>
        <v>46053</v>
      </c>
      <c r="G16" s="42" t="str">
        <f ca="1">_xlfn.FORMULATEXT(E16)</f>
        <v>=MIN(F9:Q9)</v>
      </c>
    </row>
    <row r="17" spans="4:8" x14ac:dyDescent="0.2">
      <c r="D17" s="28" t="s">
        <v>38</v>
      </c>
      <c r="E17" s="30">
        <f>MAX(F9:Q9)</f>
        <v>46387</v>
      </c>
      <c r="G17" s="42" t="str">
        <f t="shared" ref="G17:G56" ca="1" si="0">_xlfn.FORMULATEXT(E17)</f>
        <v>=MAX(F9:Q9)</v>
      </c>
    </row>
    <row r="18" spans="4:8" x14ac:dyDescent="0.2">
      <c r="D18" s="15"/>
      <c r="E18" s="14"/>
      <c r="G18" s="42"/>
    </row>
    <row r="19" spans="4:8" x14ac:dyDescent="0.2">
      <c r="D19" s="28" t="s">
        <v>47</v>
      </c>
      <c r="E19" s="31">
        <f>COUNTA(F9:Q9)</f>
        <v>12</v>
      </c>
      <c r="G19" s="42" t="str">
        <f t="shared" ca="1" si="0"/>
        <v>=NBVAL(F9:Q9)</v>
      </c>
      <c r="H19" s="29"/>
    </row>
    <row r="20" spans="4:8" x14ac:dyDescent="0.2">
      <c r="D20" s="15"/>
      <c r="E20" s="14"/>
      <c r="G20" s="42"/>
    </row>
    <row r="21" spans="4:8" x14ac:dyDescent="0.2">
      <c r="D21" s="15"/>
      <c r="E21" s="14"/>
      <c r="G21" s="42"/>
    </row>
    <row r="22" spans="4:8" x14ac:dyDescent="0.2">
      <c r="D22" s="14" t="s">
        <v>39</v>
      </c>
      <c r="E22" s="14"/>
      <c r="G22" s="42"/>
    </row>
    <row r="23" spans="4:8" x14ac:dyDescent="0.2">
      <c r="D23" s="16" t="s">
        <v>40</v>
      </c>
      <c r="E23" s="32">
        <f>MAX(F10:Q10)</f>
        <v>210289</v>
      </c>
      <c r="G23" s="42" t="str">
        <f t="shared" ca="1" si="0"/>
        <v>=MAX(F10:Q10)</v>
      </c>
    </row>
    <row r="24" spans="4:8" x14ac:dyDescent="0.2">
      <c r="D24" s="16" t="s">
        <v>41</v>
      </c>
      <c r="E24" s="32">
        <f>MAX(F11:Q11)</f>
        <v>7262</v>
      </c>
      <c r="G24" s="42" t="str">
        <f t="shared" ca="1" si="0"/>
        <v>=MAX(F11:Q11)</v>
      </c>
    </row>
    <row r="25" spans="4:8" x14ac:dyDescent="0.2">
      <c r="D25" s="16" t="s">
        <v>48</v>
      </c>
      <c r="E25" s="32">
        <f>MAX(F12:Q12)</f>
        <v>1970</v>
      </c>
      <c r="G25" s="42" t="str">
        <f t="shared" ca="1" si="0"/>
        <v>=MAX(F12:Q12)</v>
      </c>
    </row>
    <row r="26" spans="4:8" x14ac:dyDescent="0.2">
      <c r="D26" s="15"/>
      <c r="E26" s="43"/>
      <c r="G26" s="42"/>
    </row>
    <row r="27" spans="4:8" x14ac:dyDescent="0.2">
      <c r="D27" s="14" t="s">
        <v>49</v>
      </c>
      <c r="E27" s="43"/>
      <c r="G27" s="42"/>
    </row>
    <row r="28" spans="4:8" x14ac:dyDescent="0.2">
      <c r="D28" s="16" t="s">
        <v>40</v>
      </c>
      <c r="E28" s="32">
        <f>AVERAGE(F10:Q10)</f>
        <v>124810</v>
      </c>
      <c r="G28" s="42" t="str">
        <f t="shared" ca="1" si="0"/>
        <v>=MOYENNE(F10:Q10)</v>
      </c>
    </row>
    <row r="29" spans="4:8" x14ac:dyDescent="0.2">
      <c r="D29" s="16" t="s">
        <v>41</v>
      </c>
      <c r="E29" s="32">
        <f t="shared" ref="E29:E30" si="1">AVERAGE(F11:Q11)</f>
        <v>4833.7142857142853</v>
      </c>
      <c r="G29" s="42" t="str">
        <f t="shared" ca="1" si="0"/>
        <v>=MOYENNE(F11:Q11)</v>
      </c>
    </row>
    <row r="30" spans="4:8" x14ac:dyDescent="0.2">
      <c r="D30" s="16" t="s">
        <v>48</v>
      </c>
      <c r="E30" s="32">
        <f t="shared" si="1"/>
        <v>1380.875</v>
      </c>
      <c r="G30" s="42" t="str">
        <f t="shared" ca="1" si="0"/>
        <v>=MOYENNE(F12:Q12)</v>
      </c>
    </row>
    <row r="31" spans="4:8" x14ac:dyDescent="0.2">
      <c r="D31" s="15"/>
      <c r="E31" s="43"/>
      <c r="G31" s="42"/>
    </row>
    <row r="32" spans="4:8" x14ac:dyDescent="0.2">
      <c r="D32" s="14" t="s">
        <v>42</v>
      </c>
      <c r="E32" s="43"/>
      <c r="G32" s="42"/>
    </row>
    <row r="33" spans="4:7" x14ac:dyDescent="0.2">
      <c r="D33" s="16" t="s">
        <v>40</v>
      </c>
      <c r="E33" s="32">
        <f>MEDIAN(F10:Q10)</f>
        <v>160515.5</v>
      </c>
      <c r="G33" s="42" t="str">
        <f t="shared" ca="1" si="0"/>
        <v>=MEDIANE(F10:Q10)</v>
      </c>
    </row>
    <row r="34" spans="4:7" x14ac:dyDescent="0.2">
      <c r="D34" s="16" t="s">
        <v>41</v>
      </c>
      <c r="E34" s="32">
        <f t="shared" ref="E34:E35" si="2">MEDIAN(F11:Q11)</f>
        <v>5243</v>
      </c>
      <c r="G34" s="42" t="str">
        <f t="shared" ca="1" si="0"/>
        <v>=MEDIANE(F11:Q11)</v>
      </c>
    </row>
    <row r="35" spans="4:7" x14ac:dyDescent="0.2">
      <c r="D35" s="16" t="s">
        <v>48</v>
      </c>
      <c r="E35" s="32">
        <f t="shared" si="2"/>
        <v>1511.5</v>
      </c>
      <c r="G35" s="42" t="str">
        <f t="shared" ca="1" si="0"/>
        <v>=MEDIANE(F12:Q12)</v>
      </c>
    </row>
    <row r="36" spans="4:7" x14ac:dyDescent="0.2">
      <c r="D36" s="15"/>
      <c r="E36" s="43"/>
      <c r="G36" s="42"/>
    </row>
    <row r="37" spans="4:7" x14ac:dyDescent="0.2">
      <c r="D37" s="14" t="s">
        <v>43</v>
      </c>
      <c r="E37" s="43"/>
      <c r="G37" s="42"/>
    </row>
    <row r="38" spans="4:7" x14ac:dyDescent="0.2">
      <c r="D38" s="17" t="s">
        <v>51</v>
      </c>
      <c r="E38" s="44">
        <f>MAX(F10:Q10)</f>
        <v>210289</v>
      </c>
      <c r="G38" s="42" t="str">
        <f t="shared" ca="1" si="0"/>
        <v>=MAX(F10:Q10)</v>
      </c>
    </row>
    <row r="39" spans="4:7" x14ac:dyDescent="0.2">
      <c r="D39" s="16" t="s">
        <v>50</v>
      </c>
      <c r="E39" s="47">
        <f>_xlfn.XLOOKUP(MAX(F10:Q10),F10:Q10,F9:Q9)</f>
        <v>46173</v>
      </c>
      <c r="G39" s="42" t="str">
        <f t="shared" ca="1" si="0"/>
        <v>=RECHERCHEX(MAX(F10:Q10);F10:Q10;F9:Q9)</v>
      </c>
    </row>
    <row r="40" spans="4:7" x14ac:dyDescent="0.2">
      <c r="D40" s="15"/>
      <c r="E40" s="43"/>
      <c r="G40" s="42"/>
    </row>
    <row r="41" spans="4:7" x14ac:dyDescent="0.2">
      <c r="D41" s="16" t="s">
        <v>52</v>
      </c>
      <c r="E41" s="32">
        <f>MAX(F11:Q11)</f>
        <v>7262</v>
      </c>
      <c r="G41" s="42" t="str">
        <f t="shared" ca="1" si="0"/>
        <v>=MAX(F11:Q11)</v>
      </c>
    </row>
    <row r="42" spans="4:7" x14ac:dyDescent="0.2">
      <c r="D42" s="18" t="s">
        <v>53</v>
      </c>
      <c r="E42" s="47">
        <f>_xlfn.XLOOKUP(MAX(F11:Q11),F11:Q11,F9:Q9)</f>
        <v>46112</v>
      </c>
      <c r="G42" s="42" t="str">
        <f t="shared" ca="1" si="0"/>
        <v>=RECHERCHEX(MAX(F11:Q11);F11:Q11;F9:Q9)</v>
      </c>
    </row>
    <row r="43" spans="4:7" x14ac:dyDescent="0.2">
      <c r="D43" s="19"/>
      <c r="E43" s="45"/>
      <c r="G43" s="42"/>
    </row>
    <row r="44" spans="4:7" x14ac:dyDescent="0.2">
      <c r="D44" s="16" t="s">
        <v>55</v>
      </c>
      <c r="E44" s="32">
        <f>MAX(F12:Q12)</f>
        <v>1970</v>
      </c>
      <c r="G44" s="42" t="str">
        <f t="shared" ca="1" si="0"/>
        <v>=MAX(F12:Q12)</v>
      </c>
    </row>
    <row r="45" spans="4:7" x14ac:dyDescent="0.2">
      <c r="D45" s="18" t="s">
        <v>54</v>
      </c>
      <c r="E45" s="47">
        <f>_xlfn.XLOOKUP(MAX(F12:Q12),F12:Q12,F9:Q9)</f>
        <v>46112</v>
      </c>
      <c r="G45" s="42" t="str">
        <f t="shared" ca="1" si="0"/>
        <v>=RECHERCHEX(MAX(F12:Q12);F12:Q12;F9:Q9)</v>
      </c>
    </row>
    <row r="46" spans="4:7" x14ac:dyDescent="0.2">
      <c r="D46" s="19"/>
      <c r="E46" s="45"/>
      <c r="G46" s="42"/>
    </row>
    <row r="47" spans="4:7" ht="11.25" customHeight="1" x14ac:dyDescent="0.2">
      <c r="D47" s="15"/>
      <c r="E47" s="43"/>
      <c r="G47" s="42"/>
    </row>
    <row r="48" spans="4:7" x14ac:dyDescent="0.2">
      <c r="D48" s="14" t="s">
        <v>44</v>
      </c>
      <c r="E48" s="43"/>
      <c r="G48" s="42"/>
    </row>
    <row r="49" spans="4:7" x14ac:dyDescent="0.2">
      <c r="D49" s="16" t="s">
        <v>45</v>
      </c>
      <c r="E49" s="32">
        <f>MIN(F10:Q10)</f>
        <v>28845</v>
      </c>
      <c r="G49" s="42" t="str">
        <f t="shared" ca="1" si="0"/>
        <v>=MIN(F10:Q10)</v>
      </c>
    </row>
    <row r="50" spans="4:7" x14ac:dyDescent="0.2">
      <c r="D50" s="16" t="s">
        <v>62</v>
      </c>
      <c r="E50" s="47">
        <f>_xlfn.XLOOKUP(E49,F10:Q10,F9:Q9)</f>
        <v>46234</v>
      </c>
      <c r="G50" s="42" t="str">
        <f t="shared" ca="1" si="0"/>
        <v>=RECHERCHEX(E49;F10:Q10;F9:Q9)</v>
      </c>
    </row>
    <row r="51" spans="4:7" x14ac:dyDescent="0.2">
      <c r="D51" s="15"/>
      <c r="E51" s="43"/>
      <c r="G51" s="42"/>
    </row>
    <row r="52" spans="4:7" x14ac:dyDescent="0.2">
      <c r="D52" s="16" t="s">
        <v>46</v>
      </c>
      <c r="E52" s="32">
        <f>MIN(F11:Q11)</f>
        <v>1639</v>
      </c>
      <c r="G52" s="42" t="str">
        <f t="shared" ca="1" si="0"/>
        <v>=MIN(F11:Q11)</v>
      </c>
    </row>
    <row r="53" spans="4:7" x14ac:dyDescent="0.2">
      <c r="D53" s="16" t="s">
        <v>63</v>
      </c>
      <c r="E53" s="47">
        <f>_xlfn.XLOOKUP(E52,F11:Q11,F9:Q9)</f>
        <v>46234</v>
      </c>
      <c r="G53" s="42" t="str">
        <f t="shared" ca="1" si="0"/>
        <v>=RECHERCHEX(E52;F11:Q11;F9:Q9)</v>
      </c>
    </row>
    <row r="54" spans="4:7" x14ac:dyDescent="0.2">
      <c r="E54" s="43"/>
      <c r="G54" s="42"/>
    </row>
    <row r="55" spans="4:7" x14ac:dyDescent="0.2">
      <c r="D55" s="16" t="s">
        <v>56</v>
      </c>
      <c r="E55" s="32">
        <f>MIN(F12:Q12)</f>
        <v>792</v>
      </c>
      <c r="G55" s="42" t="str">
        <f t="shared" ca="1" si="0"/>
        <v>=MIN(F12:Q12)</v>
      </c>
    </row>
    <row r="56" spans="4:7" x14ac:dyDescent="0.2">
      <c r="D56" s="18" t="s">
        <v>57</v>
      </c>
      <c r="E56" s="47">
        <f>_xlfn.XLOOKUP(E55,F12:Q12,F9:Q9)</f>
        <v>46265</v>
      </c>
      <c r="G56" s="42" t="str">
        <f t="shared" ca="1" si="0"/>
        <v>=RECHERCHEX(E55;F12:Q12;F9:Q9)</v>
      </c>
    </row>
  </sheetData>
  <phoneticPr fontId="9" type="noConversion"/>
  <conditionalFormatting sqref="F10:Q10">
    <cfRule type="colorScale" priority="3">
      <colorScale>
        <cfvo type="min"/>
        <cfvo type="max"/>
        <color rgb="FFFCFCFF"/>
        <color rgb="FFF8696B"/>
      </colorScale>
    </cfRule>
  </conditionalFormatting>
  <conditionalFormatting sqref="F11:Q11">
    <cfRule type="colorScale" priority="2">
      <colorScale>
        <cfvo type="min"/>
        <cfvo type="max"/>
        <color rgb="FFFCFCFF"/>
        <color rgb="FFF8696B"/>
      </colorScale>
    </cfRule>
  </conditionalFormatting>
  <conditionalFormatting sqref="F12:Q12">
    <cfRule type="colorScale" priority="1">
      <colorScale>
        <cfvo type="min"/>
        <cfvo type="max"/>
        <color rgb="FFFCFCFF"/>
        <color rgb="FFF8696B"/>
      </colorScale>
    </cfRule>
  </conditionalFormatting>
  <dataValidations disablePrompts="1" count="1">
    <dataValidation errorStyle="information" operator="greaterThan" showErrorMessage="1" errorTitle="Message SISB" error="Veuillez entrer un nombre positif entier" promptTitle="Message SISB" prompt="veuillez entrer un nombre entier" sqref="F12:M12 F10:Q11" xr:uid="{6EC32E58-9E7F-45A0-A10F-0C9C616EB5E1}"/>
  </dataValidation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 low="1" xr2:uid="{78647ADB-E468-4CC4-A40A-7021B97277EC}">
          <x14:colorSeries theme="2" tint="-0.249977111117893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7"/>
          <x14:colorLow theme="2" tint="-0.749992370372631"/>
          <x14:sparklines>
            <x14:sparkline>
              <xm:f>USEP_2026!F10:Q10</xm:f>
              <xm:sqref>S10</xm:sqref>
            </x14:sparkline>
            <x14:sparkline>
              <xm:f>USEP_2026!F11:Q11</xm:f>
              <xm:sqref>S11</xm:sqref>
            </x14:sparkline>
            <x14:sparkline>
              <xm:f>USEP_2026!F12:Q12</xm:f>
              <xm:sqref>S12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0B4EA-2107-4D20-9D8D-481D26BD316F}">
  <dimension ref="A1:O4"/>
  <sheetViews>
    <sheetView workbookViewId="0">
      <selection activeCell="P19" sqref="P19"/>
    </sheetView>
  </sheetViews>
  <sheetFormatPr baseColWidth="10" defaultRowHeight="12" x14ac:dyDescent="0.2"/>
  <cols>
    <col min="2" max="2" width="28.6640625" customWidth="1"/>
    <col min="3" max="3" width="40.5" customWidth="1"/>
  </cols>
  <sheetData>
    <row r="1" spans="1:15" ht="27" x14ac:dyDescent="0.2">
      <c r="A1" s="2" t="s">
        <v>0</v>
      </c>
      <c r="B1" s="2" t="s">
        <v>1</v>
      </c>
      <c r="C1" s="3" t="s">
        <v>2</v>
      </c>
      <c r="D1" s="5" t="s">
        <v>5</v>
      </c>
      <c r="E1" s="5" t="s">
        <v>6</v>
      </c>
      <c r="F1" s="5" t="s">
        <v>7</v>
      </c>
      <c r="G1" s="5" t="s">
        <v>8</v>
      </c>
      <c r="H1" s="5" t="s">
        <v>9</v>
      </c>
      <c r="I1" s="5" t="s">
        <v>10</v>
      </c>
      <c r="J1" s="5" t="s">
        <v>11</v>
      </c>
      <c r="K1" s="5" t="s">
        <v>12</v>
      </c>
      <c r="L1" s="5" t="s">
        <v>13</v>
      </c>
      <c r="M1" s="5" t="s">
        <v>14</v>
      </c>
      <c r="N1" s="5" t="s">
        <v>15</v>
      </c>
      <c r="O1" s="5" t="s">
        <v>16</v>
      </c>
    </row>
    <row r="2" spans="1:15" ht="54" x14ac:dyDescent="0.2">
      <c r="A2" s="6" t="s">
        <v>3</v>
      </c>
      <c r="B2" s="7" t="s">
        <v>4</v>
      </c>
      <c r="C2" s="1" t="s">
        <v>34</v>
      </c>
      <c r="D2" s="8">
        <v>148031</v>
      </c>
      <c r="E2" s="8">
        <v>57373</v>
      </c>
      <c r="F2" s="8">
        <v>134426</v>
      </c>
      <c r="G2" s="8">
        <v>107901</v>
      </c>
      <c r="H2" s="8">
        <v>173573</v>
      </c>
      <c r="I2" s="8">
        <v>148336</v>
      </c>
      <c r="J2" s="8">
        <v>30661</v>
      </c>
      <c r="K2" s="8">
        <v>53610</v>
      </c>
      <c r="L2" s="8">
        <v>101592</v>
      </c>
      <c r="M2" s="8">
        <v>153372</v>
      </c>
      <c r="N2" s="8">
        <v>164814</v>
      </c>
      <c r="O2" s="8">
        <v>148897</v>
      </c>
    </row>
    <row r="3" spans="1:15" ht="40.5" x14ac:dyDescent="0.2">
      <c r="A3" s="9" t="s">
        <v>29</v>
      </c>
      <c r="B3" s="10" t="s">
        <v>30</v>
      </c>
      <c r="C3" s="11" t="s">
        <v>31</v>
      </c>
      <c r="D3" s="12">
        <v>1121</v>
      </c>
      <c r="E3" s="12">
        <v>1082</v>
      </c>
      <c r="F3" s="12">
        <v>1417</v>
      </c>
      <c r="G3" s="12">
        <v>1287</v>
      </c>
      <c r="H3" s="12">
        <v>1409</v>
      </c>
      <c r="I3" s="12">
        <v>1154</v>
      </c>
      <c r="J3" s="12">
        <v>580</v>
      </c>
      <c r="K3" s="12">
        <v>541</v>
      </c>
      <c r="L3" s="12">
        <v>1994</v>
      </c>
      <c r="M3" s="12">
        <v>2038</v>
      </c>
      <c r="N3" s="12">
        <v>1934</v>
      </c>
      <c r="O3" s="12">
        <v>1593</v>
      </c>
    </row>
    <row r="4" spans="1:15" ht="54" x14ac:dyDescent="0.2">
      <c r="A4" s="9" t="s">
        <v>32</v>
      </c>
      <c r="B4" s="10" t="s">
        <v>33</v>
      </c>
      <c r="C4" s="1" t="s">
        <v>35</v>
      </c>
      <c r="D4" s="12">
        <v>4946</v>
      </c>
      <c r="E4" s="12">
        <v>8369</v>
      </c>
      <c r="F4" s="12">
        <v>8414</v>
      </c>
      <c r="G4" s="12">
        <v>6173</v>
      </c>
      <c r="H4" s="12">
        <v>5662</v>
      </c>
      <c r="I4" s="12">
        <v>3943</v>
      </c>
      <c r="J4" s="12">
        <v>4367</v>
      </c>
      <c r="K4" s="12">
        <v>3866</v>
      </c>
      <c r="L4" s="12">
        <v>10765</v>
      </c>
      <c r="M4" s="12">
        <v>8073</v>
      </c>
      <c r="N4" s="12">
        <v>5748</v>
      </c>
      <c r="O4" s="12">
        <v>3919</v>
      </c>
    </row>
  </sheetData>
  <dataValidations count="1">
    <dataValidation errorStyle="information" operator="greaterThan" showErrorMessage="1" errorTitle="Message SISB" error="Veuillez entrer un nombre positif entier" promptTitle="Message SISB" prompt="veuillez entrer un nombre entier" sqref="D2:O4" xr:uid="{1F8B4CAB-1D24-4EAF-B6C0-C3884013A711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81882-7C47-4421-9126-219295E45FCE}">
  <dimension ref="A1:O4"/>
  <sheetViews>
    <sheetView workbookViewId="0">
      <selection activeCell="H18" sqref="H18"/>
    </sheetView>
  </sheetViews>
  <sheetFormatPr baseColWidth="10" defaultRowHeight="12" x14ac:dyDescent="0.2"/>
  <cols>
    <col min="2" max="2" width="28.33203125" customWidth="1"/>
    <col min="3" max="3" width="44.6640625" customWidth="1"/>
  </cols>
  <sheetData>
    <row r="1" spans="1:15" ht="27" x14ac:dyDescent="0.2">
      <c r="A1" s="2" t="s">
        <v>0</v>
      </c>
      <c r="B1" s="2" t="s">
        <v>1</v>
      </c>
      <c r="C1" s="3" t="s">
        <v>2</v>
      </c>
      <c r="D1" s="4" t="s">
        <v>17</v>
      </c>
      <c r="E1" s="4" t="s">
        <v>18</v>
      </c>
      <c r="F1" s="4" t="s">
        <v>19</v>
      </c>
      <c r="G1" s="4" t="s">
        <v>20</v>
      </c>
      <c r="H1" s="4" t="s">
        <v>21</v>
      </c>
      <c r="I1" s="4" t="s">
        <v>22</v>
      </c>
      <c r="J1" s="4" t="s">
        <v>23</v>
      </c>
      <c r="K1" s="4" t="s">
        <v>24</v>
      </c>
      <c r="L1" s="4" t="s">
        <v>25</v>
      </c>
      <c r="M1" s="4" t="s">
        <v>26</v>
      </c>
      <c r="N1" s="4" t="s">
        <v>27</v>
      </c>
      <c r="O1" s="4" t="s">
        <v>28</v>
      </c>
    </row>
    <row r="2" spans="1:15" ht="40.5" x14ac:dyDescent="0.2">
      <c r="A2" s="6" t="s">
        <v>3</v>
      </c>
      <c r="B2" s="7" t="s">
        <v>4</v>
      </c>
      <c r="C2" s="1" t="s">
        <v>34</v>
      </c>
      <c r="D2" s="8">
        <v>154483</v>
      </c>
      <c r="E2" s="8">
        <v>54995</v>
      </c>
      <c r="F2" s="8">
        <v>121504</v>
      </c>
      <c r="G2" s="8">
        <v>141282</v>
      </c>
      <c r="H2" s="8">
        <v>166846</v>
      </c>
      <c r="I2" s="8">
        <v>142138</v>
      </c>
      <c r="J2" s="8">
        <v>34149</v>
      </c>
      <c r="K2" s="8">
        <v>42282</v>
      </c>
      <c r="L2" s="8">
        <v>102435</v>
      </c>
      <c r="M2" s="8">
        <v>152519</v>
      </c>
      <c r="N2" s="8">
        <v>162715</v>
      </c>
      <c r="O2" s="8">
        <v>146319</v>
      </c>
    </row>
    <row r="3" spans="1:15" ht="81" x14ac:dyDescent="0.2">
      <c r="A3" s="9" t="s">
        <v>29</v>
      </c>
      <c r="B3" s="10" t="s">
        <v>30</v>
      </c>
      <c r="C3" s="11" t="s">
        <v>31</v>
      </c>
      <c r="D3" s="12">
        <v>1308</v>
      </c>
      <c r="E3" s="12">
        <v>1140</v>
      </c>
      <c r="F3" s="12">
        <v>1242</v>
      </c>
      <c r="G3" s="12">
        <v>1386</v>
      </c>
      <c r="H3" s="12">
        <v>1259</v>
      </c>
      <c r="I3" s="12">
        <v>1119</v>
      </c>
      <c r="J3" s="12">
        <v>667</v>
      </c>
      <c r="K3" s="12">
        <v>562</v>
      </c>
      <c r="L3" s="12">
        <v>1479</v>
      </c>
      <c r="M3" s="12">
        <v>1723</v>
      </c>
      <c r="N3" s="12">
        <v>1622</v>
      </c>
      <c r="O3" s="12">
        <v>1141</v>
      </c>
    </row>
    <row r="4" spans="1:15" ht="67.5" x14ac:dyDescent="0.2">
      <c r="A4" s="9" t="s">
        <v>32</v>
      </c>
      <c r="B4" s="10" t="s">
        <v>33</v>
      </c>
      <c r="C4" s="11" t="s">
        <v>36</v>
      </c>
      <c r="D4" s="12">
        <v>7141</v>
      </c>
      <c r="E4" s="12">
        <v>10092</v>
      </c>
      <c r="F4" s="12">
        <v>9614</v>
      </c>
      <c r="G4" s="12">
        <v>8486</v>
      </c>
      <c r="H4" s="12">
        <v>7189</v>
      </c>
      <c r="I4" s="12">
        <v>5842</v>
      </c>
      <c r="J4" s="12">
        <v>5050</v>
      </c>
      <c r="K4" s="12">
        <v>4021</v>
      </c>
      <c r="L4" s="12">
        <v>11078</v>
      </c>
      <c r="M4" s="12">
        <v>9763</v>
      </c>
      <c r="N4" s="12">
        <v>7972</v>
      </c>
      <c r="O4" s="12">
        <v>5172</v>
      </c>
    </row>
  </sheetData>
  <dataValidations count="1">
    <dataValidation errorStyle="information" operator="greaterThan" showErrorMessage="1" errorTitle="Message SISB" error="Veuillez entrer un nombre positif entier" promptTitle="Message SISB" prompt="veuillez entrer un nombre entier" sqref="D2:O4" xr:uid="{B9CC19CD-DC64-4957-BC23-69BADB64F91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USEP_2026 (2)</vt:lpstr>
      <vt:lpstr>USEP_2026</vt:lpstr>
      <vt:lpstr>USEP_2025</vt:lpstr>
      <vt:lpstr>USEP_2024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Geneviève Agnès Guex</dc:creator>
  <cp:lastModifiedBy>Geneviève Agnès Guex</cp:lastModifiedBy>
  <dcterms:created xsi:type="dcterms:W3CDTF">2026-09-29T05:22:18Z</dcterms:created>
  <dcterms:modified xsi:type="dcterms:W3CDTF">2026-10-09T15:05:37Z</dcterms:modified>
</cp:coreProperties>
</file>