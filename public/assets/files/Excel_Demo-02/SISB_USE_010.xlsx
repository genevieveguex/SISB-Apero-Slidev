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2.xml" ContentType="application/vnd.openxmlformats-officedocument.drawing+xml"/>
  <Override PartName="/xl/tables/table1.xml" ContentType="application/vnd.openxmlformats-officedocument.spreadsheetml.tab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https://epflch-my.sharepoint.com/personal/genevieve_guex_epfl_ch/Documents/Documents/SISB_Presentations/SISB-Apero-Slidev/public/assets/files/Excel_Demo-02/"/>
    </mc:Choice>
  </mc:AlternateContent>
  <xr:revisionPtr revIDLastSave="600" documentId="8_{B2FD73CA-8219-4D16-BAB3-DE6D14EB600D}" xr6:coauthVersionLast="47" xr6:coauthVersionMax="47" xr10:uidLastSave="{498B59EF-2DE6-4912-B392-130FE402FCB8}"/>
  <bookViews>
    <workbookView xWindow="-120" yWindow="-120" windowWidth="51840" windowHeight="21120" activeTab="6" xr2:uid="{537DF2C6-54A6-4649-8875-CD01F068054D}"/>
  </bookViews>
  <sheets>
    <sheet name="USE_010_2026" sheetId="3" r:id="rId1"/>
    <sheet name="USE_010_2025" sheetId="2" r:id="rId2"/>
    <sheet name="USE_010_2024" sheetId="1" r:id="rId3"/>
    <sheet name="DEMO &gt;&gt;" sheetId="4" r:id="rId4"/>
    <sheet name="Etape 1" sheetId="5" r:id="rId5"/>
    <sheet name="Etapes 2 et 3" sheetId="6" r:id="rId6"/>
    <sheet name="Etape 4" sheetId="7" r:id="rId7"/>
    <sheet name="Etape 5" sheetId="8" r:id="rId8"/>
  </sheets>
  <definedNames>
    <definedName name="_xlnm._FilterDatabase" localSheetId="6" hidden="1">'Etape 4'!$A$1:$E$1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K32" i="7" l="1"/>
  <c r="H32" i="7" a="1"/>
  <c r="P9" i="6"/>
  <c r="O10" i="6"/>
  <c r="O11" i="6"/>
  <c r="O12" i="6"/>
  <c r="O13" i="6"/>
  <c r="O14" i="6"/>
  <c r="O15" i="6"/>
  <c r="O16" i="6"/>
  <c r="O17" i="6"/>
  <c r="O18" i="6"/>
  <c r="O19" i="6"/>
  <c r="O20" i="6"/>
  <c r="O21" i="6"/>
  <c r="O22" i="6"/>
  <c r="O23" i="6"/>
  <c r="O24" i="6"/>
  <c r="O25" i="6"/>
  <c r="O26" i="6"/>
  <c r="O27" i="6"/>
  <c r="O28" i="6"/>
  <c r="O29" i="6"/>
  <c r="O30" i="6"/>
  <c r="O31" i="6"/>
  <c r="O32" i="6"/>
  <c r="O33" i="6"/>
  <c r="O34" i="6"/>
  <c r="O35" i="6"/>
  <c r="O36" i="6"/>
  <c r="O37" i="6"/>
  <c r="O38" i="6"/>
  <c r="O39" i="6"/>
  <c r="O40" i="6"/>
  <c r="O41" i="6"/>
  <c r="O42" i="6"/>
  <c r="O43" i="6"/>
  <c r="O44" i="6"/>
  <c r="O9" i="6"/>
  <c r="N9" i="6"/>
  <c r="M21" i="6"/>
  <c r="M22" i="6"/>
  <c r="M23" i="6"/>
  <c r="M24" i="6"/>
  <c r="M25" i="6"/>
  <c r="M26" i="6"/>
  <c r="M27" i="6"/>
  <c r="M28" i="6"/>
  <c r="M29" i="6"/>
  <c r="M30" i="6"/>
  <c r="M31" i="6"/>
  <c r="M32" i="6"/>
  <c r="M33" i="6"/>
  <c r="M34" i="6"/>
  <c r="M35" i="6"/>
  <c r="M36" i="6"/>
  <c r="M37" i="6"/>
  <c r="M38" i="6"/>
  <c r="M39" i="6"/>
  <c r="M40" i="6"/>
  <c r="M41" i="6"/>
  <c r="M42" i="6"/>
  <c r="M43" i="6"/>
  <c r="M44" i="6"/>
  <c r="M10" i="6"/>
  <c r="M11" i="6"/>
  <c r="M12" i="6"/>
  <c r="M13" i="6"/>
  <c r="M14" i="6"/>
  <c r="M15" i="6"/>
  <c r="M16" i="6"/>
  <c r="M17" i="6"/>
  <c r="M18" i="6"/>
  <c r="M19" i="6"/>
  <c r="M20" i="6"/>
  <c r="M9" i="6"/>
  <c r="D9" i="6" a="1"/>
  <c r="T9" i="6"/>
  <c r="F9" i="6"/>
  <c r="S10" i="6" l="1"/>
  <c r="S11" i="6"/>
  <c r="S12" i="6"/>
  <c r="S13" i="6"/>
  <c r="S14" i="6"/>
  <c r="S15" i="6"/>
  <c r="S16" i="6"/>
  <c r="S17" i="6"/>
  <c r="S18" i="6"/>
  <c r="S19" i="6"/>
  <c r="S20" i="6"/>
  <c r="S21" i="6"/>
  <c r="S22" i="6"/>
  <c r="S23" i="6"/>
  <c r="S24" i="6"/>
  <c r="S25" i="6"/>
  <c r="S26" i="6"/>
  <c r="S27" i="6"/>
  <c r="S28" i="6"/>
  <c r="S29" i="6"/>
  <c r="S30" i="6"/>
  <c r="S31" i="6"/>
  <c r="S32" i="6"/>
  <c r="S33" i="6"/>
  <c r="S34" i="6"/>
  <c r="S35" i="6"/>
  <c r="S36" i="6"/>
  <c r="S37" i="6"/>
  <c r="S38" i="6"/>
  <c r="S39" i="6"/>
  <c r="S40" i="6"/>
  <c r="S41" i="6"/>
  <c r="S42" i="6"/>
  <c r="S43" i="6"/>
  <c r="S44" i="6"/>
  <c r="S9" i="6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<sst xmlns="http://schemas.openxmlformats.org/spreadsheetml/2006/main" count="445" uniqueCount="59">
  <si>
    <t>N° Indicateur</t>
  </si>
  <si>
    <t>Indicateur</t>
  </si>
  <si>
    <t>Descriptif indicateur</t>
  </si>
  <si>
    <t>janv.26</t>
  </si>
  <si>
    <t>févr.26</t>
  </si>
  <si>
    <t>mars26</t>
  </si>
  <si>
    <t>avr.26</t>
  </si>
  <si>
    <t>mai26</t>
  </si>
  <si>
    <t>juin26</t>
  </si>
  <si>
    <t>juil.26</t>
  </si>
  <si>
    <t>août26</t>
  </si>
  <si>
    <t>sept.26</t>
  </si>
  <si>
    <t>oct.26</t>
  </si>
  <si>
    <t>nov.26</t>
  </si>
  <si>
    <t>déc.26</t>
  </si>
  <si>
    <t>janv.25</t>
  </si>
  <si>
    <t>févr.25</t>
  </si>
  <si>
    <t>mars25</t>
  </si>
  <si>
    <t>avr.25</t>
  </si>
  <si>
    <t>mai25</t>
  </si>
  <si>
    <t>juin25</t>
  </si>
  <si>
    <t>juil.25</t>
  </si>
  <si>
    <t>août25</t>
  </si>
  <si>
    <t>sept.25</t>
  </si>
  <si>
    <t>oct.25</t>
  </si>
  <si>
    <t>nov.25</t>
  </si>
  <si>
    <t>déc.25</t>
  </si>
  <si>
    <t>janv.24</t>
  </si>
  <si>
    <t>févr.24</t>
  </si>
  <si>
    <t>mars24</t>
  </si>
  <si>
    <t>avr.24</t>
  </si>
  <si>
    <t>mai24</t>
  </si>
  <si>
    <t>juin24</t>
  </si>
  <si>
    <t>juil.24</t>
  </si>
  <si>
    <t>août24</t>
  </si>
  <si>
    <t>sept.24</t>
  </si>
  <si>
    <t>oct.24</t>
  </si>
  <si>
    <t>nov.24</t>
  </si>
  <si>
    <t>déc.24</t>
  </si>
  <si>
    <t>USE_010</t>
  </si>
  <si>
    <t>Usage : Prêts  locaux + PER + PEB avec prolongations (nombre)</t>
  </si>
  <si>
    <r>
      <rPr>
        <b/>
        <sz val="10"/>
        <color theme="1"/>
        <rFont val="Aptos"/>
        <family val="2"/>
      </rPr>
      <t>Nombre de documents du fonds prêtés et sous prolongation durant le mois;</t>
    </r>
    <r>
      <rPr>
        <sz val="10"/>
        <color theme="1"/>
        <rFont val="Aptos"/>
        <family val="2"/>
      </rPr>
      <t xml:space="preserve">
</t>
    </r>
    <r>
      <rPr>
        <b/>
        <sz val="10"/>
        <color theme="1"/>
        <rFont val="Aptos"/>
        <family val="2"/>
      </rPr>
      <t>inclus</t>
    </r>
    <r>
      <rPr>
        <sz val="10"/>
        <color theme="1"/>
        <rFont val="Aptos"/>
        <family val="2"/>
      </rPr>
      <t>: prêt en réseau, prêt entre bibliothèques; prêts sans prolongation</t>
    </r>
  </si>
  <si>
    <t>Nombre de documents du fonds prêtés et sous prolongation durant le mois;
inclus: prêt en réseau, prêt entre bibliothèques; prêts sans prolongation</t>
  </si>
  <si>
    <t>Date</t>
  </si>
  <si>
    <t>Valeur</t>
  </si>
  <si>
    <t>mars</t>
  </si>
  <si>
    <t>mai</t>
  </si>
  <si>
    <t>juin</t>
  </si>
  <si>
    <t>août</t>
  </si>
  <si>
    <t>Année</t>
  </si>
  <si>
    <t>Mois</t>
  </si>
  <si>
    <t>janvier</t>
  </si>
  <si>
    <t>février</t>
  </si>
  <si>
    <t>avril</t>
  </si>
  <si>
    <t>juillet</t>
  </si>
  <si>
    <t>septembre</t>
  </si>
  <si>
    <t>octobre</t>
  </si>
  <si>
    <t>novembre</t>
  </si>
  <si>
    <t>décembre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</si>
</sst>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-* #,##0.00_-;\-* #,##0.00_-;_-* &quot;-&quot;??_-;_-@_-"/>
    <numFmt numFmtId="164" formatCode="_-* #,##0_-;\-* #,##0_-;_-* 0_-;_-@_-"/>
    <numFmt numFmtId="165" formatCode="_-* #,##0_-;\-* #,##0_-;_-* &quot;-&quot;??_-;_-@_-"/>
  </numFmts>
  <fonts count="12" x14ac:knownFonts="1">
    <font>
      <sz val="9"/>
      <color theme="1"/>
      <name val="Aptos"/>
      <family val="2"/>
    </font>
    <font>
      <sz val="9"/>
      <color theme="1"/>
      <name val="Aptos"/>
      <family val="2"/>
    </font>
    <font>
      <sz val="10"/>
      <color theme="1"/>
      <name val="Aptos Narrow"/>
      <family val="2"/>
      <scheme val="minor"/>
    </font>
    <font>
      <b/>
      <sz val="10"/>
      <color theme="1"/>
      <name val="Aptos"/>
      <family val="2"/>
    </font>
    <font>
      <sz val="10"/>
      <color theme="1"/>
      <name val="Aptos"/>
      <family val="2"/>
    </font>
    <font>
      <b/>
      <sz val="10"/>
      <name val="Aptos"/>
      <family val="2"/>
    </font>
    <font>
      <sz val="8"/>
      <name val="Aptos"/>
      <family val="2"/>
    </font>
    <font>
      <b/>
      <sz val="12"/>
      <color theme="6"/>
      <name val="Aptos"/>
      <family val="2"/>
    </font>
    <font>
      <b/>
      <sz val="11"/>
      <color theme="6"/>
      <name val="Aptos"/>
      <family val="2"/>
    </font>
    <font>
      <b/>
      <sz val="9"/>
      <color theme="1"/>
      <name val="Aptos"/>
      <family val="2"/>
    </font>
    <font>
      <b/>
      <sz val="10"/>
      <color theme="0"/>
      <name val="Aptos"/>
      <family val="2"/>
    </font>
    <font>
      <b/>
      <sz val="9"/>
      <color theme="6"/>
      <name val="Aptos"/>
      <family val="2"/>
    </font>
  </fonts>
  <fills count="8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6"/>
        <bgColor indexed="64"/>
      </patternFill>
    </fill>
  </fills>
  <borders count="1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thin">
        <color auto="1"/>
      </right>
      <top/>
      <bottom style="medium">
        <color auto="1"/>
      </bottom>
      <diagonal/>
    </border>
    <border>
      <left style="thin">
        <color auto="1"/>
      </left>
      <right style="thin">
        <color auto="1"/>
      </right>
      <top/>
      <bottom style="medium">
        <color auto="1"/>
      </bottom>
      <diagonal/>
    </border>
    <border>
      <left style="thin">
        <color auto="1"/>
      </left>
      <right/>
      <top/>
      <bottom style="medium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0" fontId="2" fillId="0" borderId="0"/>
  </cellStyleXfs>
  <cellXfs count="74">
    <xf numFmtId="0" fontId="0" fillId="0" borderId="0" xfId="0"/>
    <xf numFmtId="0" fontId="3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vertical="center" wrapText="1"/>
    </xf>
    <xf numFmtId="0" fontId="4" fillId="0" borderId="1" xfId="0" applyFont="1" applyBorder="1" applyAlignment="1">
      <alignment vertical="top" wrapText="1"/>
    </xf>
    <xf numFmtId="165" fontId="3" fillId="0" borderId="1" xfId="1" applyNumberFormat="1" applyFont="1" applyFill="1" applyBorder="1" applyAlignment="1">
      <alignment horizontal="center" vertical="center"/>
    </xf>
    <xf numFmtId="0" fontId="3" fillId="2" borderId="1" xfId="2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49" fontId="3" fillId="2" borderId="1" xfId="2" applyNumberFormat="1" applyFont="1" applyFill="1" applyBorder="1" applyAlignment="1">
      <alignment horizontal="center" vertical="center" wrapText="1"/>
    </xf>
    <xf numFmtId="49" fontId="3" fillId="2" borderId="1" xfId="2" applyNumberFormat="1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164" fontId="5" fillId="0" borderId="1" xfId="1" applyNumberFormat="1" applyFont="1" applyBorder="1" applyAlignment="1">
      <alignment horizontal="center" vertical="center"/>
    </xf>
    <xf numFmtId="0" fontId="3" fillId="0" borderId="1" xfId="0" applyFont="1" applyBorder="1" applyAlignment="1">
      <alignment horizontal="left" vertical="top"/>
    </xf>
    <xf numFmtId="0" fontId="3" fillId="0" borderId="1" xfId="0" applyFont="1" applyBorder="1" applyAlignment="1">
      <alignment horizontal="left" vertical="top" wrapText="1"/>
    </xf>
    <xf numFmtId="0" fontId="4" fillId="0" borderId="1" xfId="0" applyFont="1" applyBorder="1" applyAlignment="1">
      <alignment horizontal="left" vertical="top" wrapText="1"/>
    </xf>
    <xf numFmtId="0" fontId="7" fillId="0" borderId="0" xfId="0" applyFont="1" applyAlignment="1">
      <alignment vertical="center"/>
    </xf>
    <xf numFmtId="14" fontId="0" fillId="0" borderId="0" xfId="0" applyNumberFormat="1"/>
    <xf numFmtId="0" fontId="4" fillId="4" borderId="1" xfId="0" applyFont="1" applyFill="1" applyBorder="1" applyAlignment="1">
      <alignment horizontal="left" vertical="top"/>
    </xf>
    <xf numFmtId="0" fontId="7" fillId="3" borderId="1" xfId="0" applyFont="1" applyFill="1" applyBorder="1" applyAlignment="1">
      <alignment horizontal="left" vertical="top"/>
    </xf>
    <xf numFmtId="14" fontId="4" fillId="0" borderId="1" xfId="0" applyNumberFormat="1" applyFont="1" applyBorder="1" applyAlignment="1">
      <alignment horizontal="left" vertical="top"/>
    </xf>
    <xf numFmtId="165" fontId="4" fillId="0" borderId="1" xfId="1" applyNumberFormat="1" applyFont="1" applyFill="1" applyBorder="1" applyAlignment="1">
      <alignment horizontal="left" vertical="top"/>
    </xf>
    <xf numFmtId="165" fontId="0" fillId="0" borderId="0" xfId="1" applyNumberFormat="1" applyFont="1" applyFill="1"/>
    <xf numFmtId="49" fontId="4" fillId="0" borderId="1" xfId="0" applyNumberFormat="1" applyFont="1" applyBorder="1" applyAlignment="1">
      <alignment horizontal="left" vertical="top"/>
    </xf>
    <xf numFmtId="14" fontId="0" fillId="0" borderId="0" xfId="0" applyNumberFormat="1" applyAlignment="1">
      <alignment horizontal="right" vertical="center"/>
    </xf>
    <xf numFmtId="0" fontId="3" fillId="0" borderId="4" xfId="0" applyFont="1" applyFill="1" applyBorder="1" applyAlignment="1">
      <alignment horizontal="center" vertical="center"/>
    </xf>
    <xf numFmtId="0" fontId="3" fillId="0" borderId="5" xfId="0" applyFont="1" applyFill="1" applyBorder="1" applyAlignment="1">
      <alignment vertical="center" wrapText="1"/>
    </xf>
    <xf numFmtId="0" fontId="4" fillId="0" borderId="5" xfId="0" applyFont="1" applyFill="1" applyBorder="1" applyAlignment="1">
      <alignment vertical="top" wrapText="1"/>
    </xf>
    <xf numFmtId="165" fontId="3" fillId="0" borderId="5" xfId="1" applyNumberFormat="1" applyFont="1" applyFill="1" applyBorder="1" applyAlignment="1">
      <alignment horizontal="center" vertical="center"/>
    </xf>
    <xf numFmtId="164" fontId="5" fillId="0" borderId="5" xfId="1" applyNumberFormat="1" applyFont="1" applyFill="1" applyBorder="1" applyAlignment="1">
      <alignment horizontal="center" vertical="center"/>
    </xf>
    <xf numFmtId="164" fontId="5" fillId="0" borderId="6" xfId="1" applyNumberFormat="1" applyFont="1" applyFill="1" applyBorder="1" applyAlignment="1">
      <alignment horizontal="center" vertical="center"/>
    </xf>
    <xf numFmtId="0" fontId="3" fillId="5" borderId="10" xfId="2" applyFont="1" applyFill="1" applyBorder="1" applyAlignment="1">
      <alignment horizontal="center" vertical="center" wrapText="1"/>
    </xf>
    <xf numFmtId="0" fontId="3" fillId="5" borderId="11" xfId="2" applyFont="1" applyFill="1" applyBorder="1" applyAlignment="1">
      <alignment horizontal="center" vertical="center" wrapText="1"/>
    </xf>
    <xf numFmtId="0" fontId="3" fillId="5" borderId="11" xfId="0" applyFont="1" applyFill="1" applyBorder="1" applyAlignment="1">
      <alignment horizontal="center" vertical="center" wrapText="1"/>
    </xf>
    <xf numFmtId="49" fontId="3" fillId="5" borderId="11" xfId="2" applyNumberFormat="1" applyFont="1" applyFill="1" applyBorder="1" applyAlignment="1">
      <alignment horizontal="center" vertical="center" wrapText="1"/>
    </xf>
    <xf numFmtId="49" fontId="3" fillId="5" borderId="11" xfId="2" applyNumberFormat="1" applyFont="1" applyFill="1" applyBorder="1" applyAlignment="1">
      <alignment horizontal="center" vertical="center"/>
    </xf>
    <xf numFmtId="49" fontId="3" fillId="5" borderId="12" xfId="2" applyNumberFormat="1" applyFont="1" applyFill="1" applyBorder="1" applyAlignment="1">
      <alignment horizontal="center" vertical="center" wrapText="1"/>
    </xf>
    <xf numFmtId="0" fontId="0" fillId="0" borderId="0" xfId="0" applyAlignment="1">
      <alignment horizontal="left" vertical="center"/>
    </xf>
    <xf numFmtId="14" fontId="8" fillId="3" borderId="1" xfId="0" applyNumberFormat="1" applyFont="1" applyFill="1" applyBorder="1" applyAlignment="1">
      <alignment horizontal="left" vertical="center"/>
    </xf>
    <xf numFmtId="14" fontId="0" fillId="0" borderId="1" xfId="0" applyNumberFormat="1" applyBorder="1" applyAlignment="1">
      <alignment horizontal="left" vertical="center"/>
    </xf>
    <xf numFmtId="0" fontId="0" fillId="0" borderId="1" xfId="0" applyBorder="1" applyAlignment="1">
      <alignment horizontal="left" vertical="center"/>
    </xf>
    <xf numFmtId="0" fontId="7" fillId="0" borderId="0" xfId="0" applyFont="1" applyAlignment="1">
      <alignment horizontal="left" vertical="center"/>
    </xf>
    <xf numFmtId="165" fontId="4" fillId="0" borderId="8" xfId="1" applyNumberFormat="1" applyFont="1" applyFill="1" applyBorder="1" applyAlignment="1">
      <alignment horizontal="left" vertical="top"/>
    </xf>
    <xf numFmtId="165" fontId="4" fillId="0" borderId="15" xfId="1" applyNumberFormat="1" applyFont="1" applyFill="1" applyBorder="1" applyAlignment="1">
      <alignment horizontal="left" vertical="top"/>
    </xf>
    <xf numFmtId="0" fontId="3" fillId="0" borderId="4" xfId="2" applyFont="1" applyFill="1" applyBorder="1" applyAlignment="1">
      <alignment horizontal="left" vertical="top" wrapText="1"/>
    </xf>
    <xf numFmtId="14" fontId="3" fillId="0" borderId="5" xfId="0" applyNumberFormat="1" applyFont="1" applyFill="1" applyBorder="1" applyAlignment="1">
      <alignment horizontal="left" vertical="top" wrapText="1"/>
    </xf>
    <xf numFmtId="49" fontId="3" fillId="0" borderId="5" xfId="0" applyNumberFormat="1" applyFont="1" applyFill="1" applyBorder="1" applyAlignment="1">
      <alignment horizontal="left" vertical="top" wrapText="1"/>
    </xf>
    <xf numFmtId="165" fontId="3" fillId="0" borderId="6" xfId="1" applyNumberFormat="1" applyFont="1" applyFill="1" applyBorder="1" applyAlignment="1">
      <alignment horizontal="left" vertical="top" wrapText="1"/>
    </xf>
    <xf numFmtId="0" fontId="3" fillId="0" borderId="7" xfId="0" applyFont="1" applyFill="1" applyBorder="1" applyAlignment="1">
      <alignment horizontal="left" vertical="top"/>
    </xf>
    <xf numFmtId="14" fontId="4" fillId="0" borderId="1" xfId="0" applyNumberFormat="1" applyFont="1" applyFill="1" applyBorder="1" applyAlignment="1">
      <alignment horizontal="left" vertical="top"/>
    </xf>
    <xf numFmtId="49" fontId="4" fillId="0" borderId="1" xfId="0" applyNumberFormat="1" applyFont="1" applyFill="1" applyBorder="1" applyAlignment="1">
      <alignment horizontal="left" vertical="top"/>
    </xf>
    <xf numFmtId="0" fontId="3" fillId="0" borderId="13" xfId="0" applyFont="1" applyFill="1" applyBorder="1" applyAlignment="1">
      <alignment horizontal="left" vertical="top"/>
    </xf>
    <xf numFmtId="14" fontId="4" fillId="0" borderId="14" xfId="0" applyNumberFormat="1" applyFont="1" applyFill="1" applyBorder="1" applyAlignment="1">
      <alignment horizontal="left" vertical="top"/>
    </xf>
    <xf numFmtId="49" fontId="4" fillId="0" borderId="14" xfId="0" applyNumberFormat="1" applyFont="1" applyFill="1" applyBorder="1" applyAlignment="1">
      <alignment horizontal="left" vertical="top"/>
    </xf>
    <xf numFmtId="14" fontId="4" fillId="6" borderId="1" xfId="0" applyNumberFormat="1" applyFont="1" applyFill="1" applyBorder="1" applyAlignment="1">
      <alignment horizontal="left" vertical="top"/>
    </xf>
    <xf numFmtId="49" fontId="4" fillId="6" borderId="1" xfId="0" applyNumberFormat="1" applyFont="1" applyFill="1" applyBorder="1" applyAlignment="1">
      <alignment horizontal="left" vertical="top"/>
    </xf>
    <xf numFmtId="165" fontId="4" fillId="6" borderId="1" xfId="1" applyNumberFormat="1" applyFont="1" applyFill="1" applyBorder="1" applyAlignment="1">
      <alignment horizontal="left" vertical="top"/>
    </xf>
    <xf numFmtId="165" fontId="4" fillId="0" borderId="1" xfId="1" applyNumberFormat="1" applyFont="1" applyBorder="1" applyAlignment="1">
      <alignment horizontal="left" vertical="top"/>
    </xf>
    <xf numFmtId="0" fontId="4" fillId="0" borderId="1" xfId="0" applyNumberFormat="1" applyFont="1" applyFill="1" applyBorder="1" applyAlignment="1">
      <alignment horizontal="left" vertical="top"/>
    </xf>
    <xf numFmtId="0" fontId="4" fillId="6" borderId="1" xfId="0" applyNumberFormat="1" applyFont="1" applyFill="1" applyBorder="1" applyAlignment="1">
      <alignment horizontal="left" vertical="top"/>
    </xf>
    <xf numFmtId="0" fontId="4" fillId="0" borderId="1" xfId="0" applyNumberFormat="1" applyFont="1" applyBorder="1" applyAlignment="1">
      <alignment horizontal="left" vertical="top"/>
    </xf>
    <xf numFmtId="0" fontId="10" fillId="7" borderId="1" xfId="2" applyFont="1" applyFill="1" applyBorder="1" applyAlignment="1">
      <alignment horizontal="left" vertical="top" wrapText="1"/>
    </xf>
    <xf numFmtId="14" fontId="10" fillId="7" borderId="1" xfId="0" applyNumberFormat="1" applyFont="1" applyFill="1" applyBorder="1" applyAlignment="1">
      <alignment horizontal="left" vertical="top" wrapText="1"/>
    </xf>
    <xf numFmtId="49" fontId="10" fillId="7" borderId="1" xfId="0" applyNumberFormat="1" applyFont="1" applyFill="1" applyBorder="1" applyAlignment="1">
      <alignment horizontal="left" vertical="top" wrapText="1"/>
    </xf>
    <xf numFmtId="165" fontId="10" fillId="7" borderId="1" xfId="1" applyNumberFormat="1" applyFont="1" applyFill="1" applyBorder="1" applyAlignment="1">
      <alignment horizontal="left" vertical="top" wrapText="1"/>
    </xf>
    <xf numFmtId="0" fontId="0" fillId="0" borderId="2" xfId="0" applyBorder="1" applyAlignment="1">
      <alignment horizontal="left" vertical="top"/>
    </xf>
    <xf numFmtId="0" fontId="0" fillId="0" borderId="3" xfId="0" applyBorder="1" applyAlignment="1">
      <alignment horizontal="left" vertical="top"/>
    </xf>
    <xf numFmtId="0" fontId="9" fillId="0" borderId="16" xfId="0" applyFont="1" applyBorder="1" applyAlignment="1">
      <alignment horizontal="left" vertical="top"/>
    </xf>
    <xf numFmtId="165" fontId="0" fillId="0" borderId="3" xfId="1" applyNumberFormat="1" applyFont="1" applyBorder="1" applyAlignment="1">
      <alignment horizontal="right" vertical="top"/>
    </xf>
    <xf numFmtId="165" fontId="9" fillId="0" borderId="16" xfId="1" applyNumberFormat="1" applyFont="1" applyBorder="1" applyAlignment="1">
      <alignment horizontal="right" vertical="top"/>
    </xf>
    <xf numFmtId="165" fontId="0" fillId="0" borderId="2" xfId="1" applyNumberFormat="1" applyFont="1" applyBorder="1" applyAlignment="1">
      <alignment horizontal="right" vertical="top"/>
    </xf>
    <xf numFmtId="0" fontId="9" fillId="0" borderId="9" xfId="0" applyFont="1" applyBorder="1" applyAlignment="1">
      <alignment horizontal="left" vertical="top"/>
    </xf>
    <xf numFmtId="165" fontId="9" fillId="0" borderId="0" xfId="1" applyNumberFormat="1" applyFont="1" applyBorder="1" applyAlignment="1">
      <alignment horizontal="right" vertical="top"/>
    </xf>
    <xf numFmtId="0" fontId="9" fillId="0" borderId="0" xfId="0" applyFont="1" applyBorder="1" applyAlignment="1">
      <alignment horizontal="left" vertical="top"/>
    </xf>
    <xf numFmtId="165" fontId="0" fillId="0" borderId="0" xfId="1" applyNumberFormat="1" applyFont="1" applyBorder="1" applyAlignment="1">
      <alignment horizontal="right" vertical="top"/>
    </xf>
    <xf numFmtId="0" fontId="11" fillId="0" borderId="0" xfId="0" applyFont="1"/>
  </cellXfs>
  <cellStyles count="3">
    <cellStyle name="Milliers" xfId="1" builtinId="3"/>
    <cellStyle name="Normal" xfId="0" builtinId="0"/>
    <cellStyle name="Normal 2" xfId="2" xr:uid="{D0C2D436-22CC-4622-BFAB-EE73B1162312}"/>
  </cellStyles>
  <dxfs count="10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"/>
        <family val="2"/>
        <scheme val="none"/>
      </font>
      <numFmt numFmtId="0" formatCode="General"/>
      <fill>
        <patternFill patternType="none">
          <fgColor indexed="64"/>
          <bgColor auto="1"/>
        </patternFill>
      </fill>
      <alignment horizontal="left" vertical="top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"/>
        <family val="2"/>
        <scheme val="none"/>
      </font>
      <numFmt numFmtId="30" formatCode="@"/>
      <fill>
        <patternFill patternType="none">
          <fgColor indexed="64"/>
          <bgColor auto="1"/>
        </patternFill>
      </fill>
      <alignment horizontal="left" vertical="top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"/>
        <family val="2"/>
        <scheme val="none"/>
      </font>
      <numFmt numFmtId="19" formatCode="dd/mm/yyyy"/>
      <fill>
        <patternFill patternType="none">
          <fgColor indexed="64"/>
          <bgColor auto="1"/>
        </patternFill>
      </fill>
      <alignment horizontal="left" vertical="top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"/>
        <family val="2"/>
        <scheme val="none"/>
      </font>
      <fill>
        <patternFill patternType="none">
          <fgColor indexed="64"/>
          <bgColor auto="1"/>
        </patternFill>
      </fill>
      <alignment horizontal="left" vertical="top" textRotation="0" wrapText="0" indent="0" justifyLastLine="0" shrinkToFit="0" readingOrder="0"/>
    </dxf>
    <dxf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"/>
        <family val="2"/>
        <scheme val="none"/>
      </font>
      <numFmt numFmtId="165" formatCode="_-* #,##0_-;\-* #,##0_-;_-* &quot;-&quot;??_-;_-@_-"/>
      <fill>
        <patternFill patternType="none">
          <fgColor indexed="64"/>
          <bgColor auto="1"/>
        </patternFill>
      </fill>
      <alignment horizontal="left" vertical="top" textRotation="0" wrapText="0" indent="0" justifyLastLine="0" shrinkToFit="0" readingOrder="0"/>
      <border diagonalUp="0" diagonalDown="0" outline="0">
        <left style="thin">
          <color auto="1"/>
        </left>
        <right/>
        <top style="thin">
          <color auto="1"/>
        </top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"/>
        <family val="2"/>
        <scheme val="none"/>
      </font>
      <fill>
        <patternFill patternType="none">
          <fgColor indexed="64"/>
          <bgColor auto="1"/>
        </patternFill>
      </fill>
      <alignment horizontal="left" vertical="top" textRotation="0" wrapText="0" indent="0" justifyLastLine="0" shrinkToFit="0" readingOrder="0"/>
      <border diagonalUp="0" diagonalDown="0" outline="0">
        <left/>
        <right style="thin">
          <color auto="1"/>
        </right>
        <top style="thin">
          <color auto="1"/>
        </top>
        <bottom style="thin">
          <color auto="1"/>
        </bottom>
      </border>
    </dxf>
    <dxf>
      <border outline="0">
        <top style="thin">
          <color auto="1"/>
        </top>
      </border>
    </dxf>
    <dxf>
      <border outline="0">
        <bottom style="thin">
          <color auto="1"/>
        </bottom>
      </border>
    </dxf>
    <dxf>
      <border outline="0">
        <left style="thin">
          <color indexed="64"/>
        </left>
        <right style="thin">
          <color indexed="64"/>
        </right>
        <top style="thin">
          <color auto="1"/>
        </top>
        <bottom style="thin">
          <color auto="1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microsoft.com/office/2017/10/relationships/person" Target="persons/perso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Relationship Id="rId14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 algn="l"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fr-CH" sz="1400" b="1" i="0" u="none" strike="noStrike" kern="1200" spc="0" baseline="0">
                <a:solidFill>
                  <a:schemeClr val="tx1"/>
                </a:solidFill>
              </a:rPr>
              <a:t>Prêts locaux</a:t>
            </a:r>
          </a:p>
          <a:p>
            <a:pPr algn="l">
              <a:defRPr/>
            </a:pPr>
            <a:r>
              <a:rPr lang="fr-CH" sz="1200" b="0" i="0" u="none" strike="noStrike" kern="1200" spc="0" baseline="0">
                <a:solidFill>
                  <a:schemeClr val="tx1"/>
                </a:solidFill>
              </a:rPr>
              <a:t>Évolution</a:t>
            </a:r>
          </a:p>
        </c:rich>
      </c:tx>
      <c:layout>
        <c:manualLayout>
          <c:xMode val="edge"/>
          <c:yMode val="edge"/>
          <c:x val="1.3261105092091007E-2"/>
          <c:y val="2.6666666666666668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algn="l"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>
        <c:manualLayout>
          <c:layoutTarget val="inner"/>
          <c:xMode val="edge"/>
          <c:yMode val="edge"/>
          <c:x val="7.0494994281275439E-2"/>
          <c:y val="0.13598374321246587"/>
          <c:w val="0.89708305963379709"/>
          <c:h val="0.7451501985391189"/>
        </c:manualLayout>
      </c:layout>
      <c:areaChart>
        <c:grouping val="standard"/>
        <c:varyColors val="0"/>
        <c:ser>
          <c:idx val="0"/>
          <c:order val="0"/>
          <c:spPr>
            <a:solidFill>
              <a:schemeClr val="tx2">
                <a:lumMod val="10000"/>
                <a:lumOff val="90000"/>
              </a:schemeClr>
            </a:solidFill>
            <a:ln w="15875">
              <a:solidFill>
                <a:schemeClr val="tx2">
                  <a:lumMod val="75000"/>
                  <a:lumOff val="25000"/>
                </a:schemeClr>
              </a:solidFill>
            </a:ln>
            <a:effectLst/>
          </c:spPr>
          <c:dLbls>
            <c:dLbl>
              <c:idx val="0"/>
              <c:layout>
                <c:manualLayout>
                  <c:x val="2.1867983881391748E-2"/>
                  <c:y val="-0.1957013228523061"/>
                </c:manualLayout>
              </c:layout>
              <c:tx>
                <c:rich>
                  <a:bodyPr/>
                  <a:lstStyle/>
                  <a:p>
                    <a:fld id="{B66B9F46-2C85-4A9F-8CED-0D2CA93D636F}" type="CELLRANGE">
                      <a:rPr lang="en-US"/>
                      <a:pPr/>
                      <a:t>[PLAGECELL]</a:t>
                    </a:fld>
                    <a:endParaRPr lang="en-US" baseline="0"/>
                  </a:p>
                  <a:p>
                    <a:fld id="{D0FC08B3-576F-4879-BFE5-CD6DD3837F36}" type="VALUE">
                      <a:rPr lang="en-US"/>
                      <a:pPr/>
                      <a:t>[VALEUR]</a:t>
                    </a:fld>
                    <a:endParaRPr lang="fr-CH"/>
                  </a:p>
                </c:rich>
              </c:tx>
              <c:showLegendKey val="0"/>
              <c:showVal val="1"/>
              <c:showCatName val="0"/>
              <c:showSerName val="0"/>
              <c:showPercent val="0"/>
              <c:showBubbleSize val="0"/>
              <c:separator>
</c:separator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1D-FFCA-424E-8886-9329F31CD96E}"/>
                </c:ext>
              </c:extLst>
            </c:dLbl>
            <c:dLbl>
              <c:idx val="1"/>
              <c:layout>
                <c:manualLayout>
                  <c:x val="5.132644677709684E-3"/>
                  <c:y val="-0.34068707795811493"/>
                </c:manualLayout>
              </c:layout>
              <c:tx>
                <c:rich>
                  <a:bodyPr/>
                  <a:lstStyle/>
                  <a:p>
                    <a:fld id="{41E455E8-B419-44FE-88FA-539A4D943929}" type="CELLRANGE">
                      <a:rPr lang="en-US"/>
                      <a:pPr/>
                      <a:t>[PLAGECELL]</a:t>
                    </a:fld>
                    <a:endParaRPr lang="en-US" baseline="0"/>
                  </a:p>
                  <a:p>
                    <a:fld id="{595ABC29-D723-4CE9-9940-5AD1CD2C3D3A}" type="VALUE">
                      <a:rPr lang="en-US"/>
                      <a:pPr/>
                      <a:t>[VALEUR]</a:t>
                    </a:fld>
                    <a:endParaRPr lang="fr-CH"/>
                  </a:p>
                </c:rich>
              </c:tx>
              <c:showLegendKey val="0"/>
              <c:showVal val="1"/>
              <c:showCatName val="0"/>
              <c:showSerName val="0"/>
              <c:showPercent val="0"/>
              <c:showBubbleSize val="0"/>
              <c:separator>
</c:separator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2-FFCA-424E-8886-9329F31CD96E}"/>
                </c:ext>
              </c:extLst>
            </c:dLbl>
            <c:dLbl>
              <c:idx val="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C-FFCA-424E-8886-9329F31CD96E}"/>
                </c:ext>
              </c:extLst>
            </c:dLbl>
            <c:dLbl>
              <c:idx val="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B-FFCA-424E-8886-9329F31CD96E}"/>
                </c:ext>
              </c:extLst>
            </c:dLbl>
            <c:dLbl>
              <c:idx val="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A-FFCA-424E-8886-9329F31CD96E}"/>
                </c:ext>
              </c:extLst>
            </c:dLbl>
            <c:dLbl>
              <c:idx val="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9-FFCA-424E-8886-9329F31CD96E}"/>
                </c:ext>
              </c:extLst>
            </c:dLbl>
            <c:dLbl>
              <c:idx val="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8-FFCA-424E-8886-9329F31CD96E}"/>
                </c:ext>
              </c:extLst>
            </c:dLbl>
            <c:dLbl>
              <c:idx val="7"/>
              <c:layout>
                <c:manualLayout>
                  <c:x val="2.4189808990201375E-4"/>
                  <c:y val="-8.6996491109970459E-2"/>
                </c:manualLayout>
              </c:layout>
              <c:tx>
                <c:rich>
                  <a:bodyPr/>
                  <a:lstStyle/>
                  <a:p>
                    <a:fld id="{AD2C47B0-9413-4FFA-878B-486D686DCA53}" type="CELLRANGE">
                      <a:rPr lang="en-US"/>
                      <a:pPr/>
                      <a:t>[PLAGECELL]</a:t>
                    </a:fld>
                    <a:endParaRPr lang="en-US" baseline="0"/>
                  </a:p>
                  <a:p>
                    <a:fld id="{FC891B6A-7884-45C1-A9D7-09591CC364A1}" type="VALUE">
                      <a:rPr lang="en-US"/>
                      <a:pPr/>
                      <a:t>[VALEUR]</a:t>
                    </a:fld>
                    <a:endParaRPr lang="fr-CH"/>
                  </a:p>
                </c:rich>
              </c:tx>
              <c:showLegendKey val="0"/>
              <c:showVal val="1"/>
              <c:showCatName val="0"/>
              <c:showSerName val="0"/>
              <c:showPercent val="0"/>
              <c:showBubbleSize val="0"/>
              <c:separator>
</c:separator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1E-FFCA-424E-8886-9329F31CD96E}"/>
                </c:ext>
              </c:extLst>
            </c:dLbl>
            <c:dLbl>
              <c:idx val="8"/>
              <c:layout>
                <c:manualLayout>
                  <c:x val="5.6340445326622164E-4"/>
                  <c:y val="-0.37209794330177087"/>
                </c:manualLayout>
              </c:layout>
              <c:tx>
                <c:rich>
                  <a:bodyPr/>
                  <a:lstStyle/>
                  <a:p>
                    <a:fld id="{F43B6687-8965-4DC4-9BF1-EDAF5245E358}" type="CELLRANGE">
                      <a:rPr lang="en-US"/>
                      <a:pPr/>
                      <a:t>[PLAGECELL]</a:t>
                    </a:fld>
                    <a:endParaRPr lang="en-US" baseline="0"/>
                  </a:p>
                  <a:p>
                    <a:fld id="{F8CD9FC1-42AE-4D29-A420-E3A7A9D39429}" type="VALUE">
                      <a:rPr lang="en-US"/>
                      <a:pPr/>
                      <a:t>[VALEUR]</a:t>
                    </a:fld>
                    <a:endParaRPr lang="fr-CH"/>
                  </a:p>
                </c:rich>
              </c:tx>
              <c:showLegendKey val="0"/>
              <c:showVal val="1"/>
              <c:showCatName val="0"/>
              <c:showSerName val="0"/>
              <c:showPercent val="0"/>
              <c:showBubbleSize val="0"/>
              <c:separator>
</c:separator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1-FFCA-424E-8886-9329F31CD96E}"/>
                </c:ext>
              </c:extLst>
            </c:dLbl>
            <c:dLbl>
              <c:idx val="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7-FFCA-424E-8886-9329F31CD96E}"/>
                </c:ext>
              </c:extLst>
            </c:dLbl>
            <c:dLbl>
              <c:idx val="1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6-FFCA-424E-8886-9329F31CD96E}"/>
                </c:ext>
              </c:extLst>
            </c:dLbl>
            <c:dLbl>
              <c:idx val="1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FFCA-424E-8886-9329F31CD96E}"/>
                </c:ext>
              </c:extLst>
            </c:dLbl>
            <c:dLbl>
              <c:idx val="12"/>
              <c:layout>
                <c:manualLayout>
                  <c:x val="4.5650002922226242E-3"/>
                  <c:y val="-0.11356235336595659"/>
                </c:manualLayout>
              </c:layout>
              <c:tx>
                <c:rich>
                  <a:bodyPr/>
                  <a:lstStyle/>
                  <a:p>
                    <a:fld id="{B5AC4471-A752-4CDC-9EC4-6B54F4C7401D}" type="CELLRANGE">
                      <a:rPr lang="en-US"/>
                      <a:pPr/>
                      <a:t>[PLAGECELL]</a:t>
                    </a:fld>
                    <a:endParaRPr lang="en-US" baseline="0"/>
                  </a:p>
                  <a:p>
                    <a:fld id="{4208BFC0-C2FA-4EB9-A8ED-3834544A5521}" type="VALUE">
                      <a:rPr lang="en-US"/>
                      <a:pPr/>
                      <a:t>[VALEUR]</a:t>
                    </a:fld>
                    <a:endParaRPr lang="fr-CH"/>
                  </a:p>
                </c:rich>
              </c:tx>
              <c:showLegendKey val="0"/>
              <c:showVal val="1"/>
              <c:showCatName val="0"/>
              <c:showSerName val="0"/>
              <c:showPercent val="0"/>
              <c:showBubbleSize val="0"/>
              <c:separator>
</c:separator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14-FFCA-424E-8886-9329F31CD96E}"/>
                </c:ext>
              </c:extLst>
            </c:dLbl>
            <c:dLbl>
              <c:idx val="1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3-FFCA-424E-8886-9329F31CD96E}"/>
                </c:ext>
              </c:extLst>
            </c:dLbl>
            <c:dLbl>
              <c:idx val="14"/>
              <c:layout>
                <c:manualLayout>
                  <c:x val="-2.2260923532478531E-3"/>
                  <c:y val="-0.29961771551863997"/>
                </c:manualLayout>
              </c:layout>
              <c:tx>
                <c:rich>
                  <a:bodyPr/>
                  <a:lstStyle/>
                  <a:p>
                    <a:fld id="{FEF91273-7933-4A50-B783-88E03C7DC0E8}" type="CELLRANGE">
                      <a:rPr lang="en-US"/>
                      <a:pPr/>
                      <a:t>[PLAGECELL]</a:t>
                    </a:fld>
                    <a:endParaRPr lang="en-US" baseline="0"/>
                  </a:p>
                  <a:p>
                    <a:fld id="{80F5E63B-2602-4A4A-A98C-8A328C5F6FD1}" type="VALUE">
                      <a:rPr lang="en-US"/>
                      <a:pPr/>
                      <a:t>[VALEUR]</a:t>
                    </a:fld>
                    <a:endParaRPr lang="fr-CH"/>
                  </a:p>
                </c:rich>
              </c:tx>
              <c:showLegendKey val="0"/>
              <c:showVal val="1"/>
              <c:showCatName val="0"/>
              <c:showSerName val="0"/>
              <c:showPercent val="0"/>
              <c:showBubbleSize val="0"/>
              <c:separator>
</c:separator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12-FFCA-424E-8886-9329F31CD96E}"/>
                </c:ext>
              </c:extLst>
            </c:dLbl>
            <c:dLbl>
              <c:idx val="1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0-FFCA-424E-8886-9329F31CD96E}"/>
                </c:ext>
              </c:extLst>
            </c:dLbl>
            <c:dLbl>
              <c:idx val="1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F-FFCA-424E-8886-9329F31CD96E}"/>
                </c:ext>
              </c:extLst>
            </c:dLbl>
            <c:dLbl>
              <c:idx val="17"/>
              <c:layout>
                <c:manualLayout>
                  <c:x val="-3.1239976973417675E-3"/>
                  <c:y val="-8.697143853781715E-2"/>
                </c:manualLayout>
              </c:layout>
              <c:tx>
                <c:rich>
                  <a:bodyPr/>
                  <a:lstStyle/>
                  <a:p>
                    <a:fld id="{656ED5DE-7D05-4100-8948-AC06BEB6CD10}" type="CELLRANGE">
                      <a:rPr lang="en-US"/>
                      <a:pPr/>
                      <a:t>[PLAGECELL]</a:t>
                    </a:fld>
                    <a:endParaRPr lang="en-US" baseline="0"/>
                  </a:p>
                  <a:p>
                    <a:fld id="{E91D8429-B3AF-4753-9311-12547F982608}" type="VALUE">
                      <a:rPr lang="en-US"/>
                      <a:pPr/>
                      <a:t>[VALEUR]</a:t>
                    </a:fld>
                    <a:endParaRPr lang="fr-CH"/>
                  </a:p>
                </c:rich>
              </c:tx>
              <c:showLegendKey val="0"/>
              <c:showVal val="1"/>
              <c:showCatName val="0"/>
              <c:showSerName val="0"/>
              <c:showPercent val="0"/>
              <c:showBubbleSize val="0"/>
              <c:separator>
</c:separator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11-FFCA-424E-8886-9329F31CD96E}"/>
                </c:ext>
              </c:extLst>
            </c:dLbl>
            <c:dLbl>
              <c:idx val="18"/>
              <c:layout>
                <c:manualLayout>
                  <c:x val="-1.1949292846495556E-3"/>
                  <c:y val="-0.16913542877353221"/>
                </c:manualLayout>
              </c:layout>
              <c:tx>
                <c:rich>
                  <a:bodyPr rot="0" spcFirstLastPara="1" vertOverflow="ellipsis" vert="horz" wrap="square" lIns="38100" tIns="19050" rIns="38100" bIns="19050" anchor="ctr" anchorCtr="1">
                    <a:spAutoFit/>
                  </a:bodyPr>
                  <a:lstStyle/>
                  <a:p>
                    <a:pPr>
                      <a:defRPr sz="900" b="0" i="0" u="none" strike="noStrike" kern="1200" baseline="0">
                        <a:solidFill>
                          <a:schemeClr val="tx2">
                            <a:lumMod val="75000"/>
                            <a:lumOff val="25000"/>
                          </a:schemeClr>
                        </a:solidFill>
                        <a:latin typeface="+mn-lt"/>
                        <a:ea typeface="+mn-ea"/>
                        <a:cs typeface="+mn-cs"/>
                      </a:defRPr>
                    </a:pPr>
                    <a:fld id="{39956DA5-4E74-4FA7-BB90-8F201FE2FCF4}" type="CELLRANGE">
                      <a:rPr lang="en-US">
                        <a:solidFill>
                          <a:schemeClr val="tx2">
                            <a:lumMod val="75000"/>
                            <a:lumOff val="25000"/>
                          </a:schemeClr>
                        </a:solidFill>
                      </a:rPr>
                      <a:pPr>
                        <a:defRPr>
                          <a:solidFill>
                            <a:schemeClr val="tx2">
                              <a:lumMod val="75000"/>
                              <a:lumOff val="25000"/>
                            </a:schemeClr>
                          </a:solidFill>
                        </a:defRPr>
                      </a:pPr>
                      <a:t>[PLAGECELL]</a:t>
                    </a:fld>
                    <a:endParaRPr lang="en-US" baseline="0">
                      <a:solidFill>
                        <a:schemeClr val="tx2">
                          <a:lumMod val="75000"/>
                          <a:lumOff val="25000"/>
                        </a:schemeClr>
                      </a:solidFill>
                    </a:endParaRPr>
                  </a:p>
                  <a:p>
                    <a:pPr>
                      <a:defRPr>
                        <a:solidFill>
                          <a:schemeClr val="tx2">
                            <a:lumMod val="75000"/>
                            <a:lumOff val="25000"/>
                          </a:schemeClr>
                        </a:solidFill>
                      </a:defRPr>
                    </a:pPr>
                    <a:fld id="{D1F31AC7-E062-46F9-8354-04FCFB155746}" type="VALUE">
                      <a:rPr lang="en-US">
                        <a:solidFill>
                          <a:schemeClr val="tx2">
                            <a:lumMod val="75000"/>
                            <a:lumOff val="25000"/>
                          </a:schemeClr>
                        </a:solidFill>
                      </a:rPr>
                      <a:pPr>
                        <a:defRPr>
                          <a:solidFill>
                            <a:schemeClr val="tx2">
                              <a:lumMod val="75000"/>
                              <a:lumOff val="25000"/>
                            </a:schemeClr>
                          </a:solidFill>
                        </a:defRPr>
                      </a:pPr>
                      <a:t>[VALEUR]</a:t>
                    </a:fld>
                    <a:endParaRPr lang="fr-CH"/>
                  </a:p>
                </c:rich>
              </c:tx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900" b="0" i="0" u="none" strike="noStrike" kern="1200" baseline="0">
                      <a:solidFill>
                        <a:schemeClr val="tx2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fr-FR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separator>
</c:separator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E-FFCA-424E-8886-9329F31CD96E}"/>
                </c:ext>
              </c:extLst>
            </c:dLbl>
            <c:dLbl>
              <c:idx val="19"/>
              <c:layout>
                <c:manualLayout>
                  <c:x val="2.4298389319396779E-3"/>
                  <c:y val="-8.4555108391578968E-2"/>
                </c:manualLayout>
              </c:layout>
              <c:tx>
                <c:rich>
                  <a:bodyPr/>
                  <a:lstStyle/>
                  <a:p>
                    <a:fld id="{34826C9F-55D5-4817-848B-69DD9D363D68}" type="CELLRANGE">
                      <a:rPr lang="en-US"/>
                      <a:pPr/>
                      <a:t>[PLAGECELL]</a:t>
                    </a:fld>
                    <a:endParaRPr lang="en-US" baseline="0"/>
                  </a:p>
                  <a:p>
                    <a:fld id="{C7966E30-6405-4BC0-BC43-A6B6959A3BC9}" type="VALUE">
                      <a:rPr lang="en-US"/>
                      <a:pPr/>
                      <a:t>[VALEUR]</a:t>
                    </a:fld>
                    <a:endParaRPr lang="fr-CH"/>
                  </a:p>
                </c:rich>
              </c:tx>
              <c:showLegendKey val="0"/>
              <c:showVal val="1"/>
              <c:showCatName val="0"/>
              <c:showSerName val="0"/>
              <c:showPercent val="0"/>
              <c:showBubbleSize val="0"/>
              <c:separator>
</c:separator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D-FFCA-424E-8886-9329F31CD96E}"/>
                </c:ext>
              </c:extLst>
            </c:dLbl>
            <c:dLbl>
              <c:idx val="20"/>
              <c:layout>
                <c:manualLayout>
                  <c:x val="4.8865080628559153E-3"/>
                  <c:y val="-0.36243306165756906"/>
                </c:manualLayout>
              </c:layout>
              <c:tx>
                <c:rich>
                  <a:bodyPr rot="0" spcFirstLastPara="1" vertOverflow="ellipsis" vert="horz" wrap="square" lIns="38100" tIns="19050" rIns="38100" bIns="19050" anchor="ctr" anchorCtr="1">
                    <a:spAutoFit/>
                  </a:bodyPr>
                  <a:lstStyle/>
                  <a:p>
                    <a:pPr>
                      <a:defRPr sz="900" b="0" i="0" u="none" strike="noStrike" kern="1200" baseline="0">
                        <a:solidFill>
                          <a:schemeClr val="tx2">
                            <a:lumMod val="75000"/>
                            <a:lumOff val="25000"/>
                          </a:schemeClr>
                        </a:solidFill>
                        <a:latin typeface="+mn-lt"/>
                        <a:ea typeface="+mn-ea"/>
                        <a:cs typeface="+mn-cs"/>
                      </a:defRPr>
                    </a:pPr>
                    <a:fld id="{E647B62E-433C-48AB-8D2C-AE1A0A3A264F}" type="CELLRANGE">
                      <a:rPr lang="en-US">
                        <a:solidFill>
                          <a:schemeClr val="tx2">
                            <a:lumMod val="75000"/>
                            <a:lumOff val="25000"/>
                          </a:schemeClr>
                        </a:solidFill>
                      </a:rPr>
                      <a:pPr>
                        <a:defRPr>
                          <a:solidFill>
                            <a:schemeClr val="tx2">
                              <a:lumMod val="75000"/>
                              <a:lumOff val="25000"/>
                            </a:schemeClr>
                          </a:solidFill>
                        </a:defRPr>
                      </a:pPr>
                      <a:t>[PLAGECELL]</a:t>
                    </a:fld>
                    <a:endParaRPr lang="en-US" baseline="0">
                      <a:solidFill>
                        <a:schemeClr val="tx2">
                          <a:lumMod val="75000"/>
                          <a:lumOff val="25000"/>
                        </a:schemeClr>
                      </a:solidFill>
                    </a:endParaRPr>
                  </a:p>
                  <a:p>
                    <a:pPr>
                      <a:defRPr>
                        <a:solidFill>
                          <a:schemeClr val="tx2">
                            <a:lumMod val="75000"/>
                            <a:lumOff val="25000"/>
                          </a:schemeClr>
                        </a:solidFill>
                      </a:defRPr>
                    </a:pPr>
                    <a:fld id="{2715614A-84AE-4E75-888E-1D30935CBB38}" type="VALUE">
                      <a:rPr lang="en-US">
                        <a:solidFill>
                          <a:schemeClr val="tx2">
                            <a:lumMod val="75000"/>
                            <a:lumOff val="25000"/>
                          </a:schemeClr>
                        </a:solidFill>
                      </a:rPr>
                      <a:pPr>
                        <a:defRPr>
                          <a:solidFill>
                            <a:schemeClr val="tx2">
                              <a:lumMod val="75000"/>
                              <a:lumOff val="25000"/>
                            </a:schemeClr>
                          </a:solidFill>
                        </a:defRPr>
                      </a:pPr>
                      <a:t>[VALEUR]</a:t>
                    </a:fld>
                    <a:endParaRPr lang="fr-CH"/>
                  </a:p>
                </c:rich>
              </c:tx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900" b="0" i="0" u="none" strike="noStrike" kern="1200" baseline="0">
                      <a:solidFill>
                        <a:schemeClr val="tx2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fr-FR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separator>
</c:separator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0-FFCA-424E-8886-9329F31CD96E}"/>
                </c:ext>
              </c:extLst>
            </c:dLbl>
            <c:dLbl>
              <c:idx val="2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B-FFCA-424E-8886-9329F31CD96E}"/>
                </c:ext>
              </c:extLst>
            </c:dLbl>
            <c:dLbl>
              <c:idx val="2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A-FFCA-424E-8886-9329F31CD96E}"/>
                </c:ext>
              </c:extLst>
            </c:dLbl>
            <c:dLbl>
              <c:idx val="23"/>
              <c:layout>
                <c:manualLayout>
                  <c:x val="7.3636346727015928E-4"/>
                  <c:y val="-8.6958816631236086E-2"/>
                </c:manualLayout>
              </c:layout>
              <c:tx>
                <c:rich>
                  <a:bodyPr rot="0" spcFirstLastPara="1" vertOverflow="ellipsis" vert="horz" wrap="square" lIns="38100" tIns="19050" rIns="38100" bIns="19050" anchor="ctr" anchorCtr="1">
                    <a:spAutoFit/>
                  </a:bodyPr>
                  <a:lstStyle/>
                  <a:p>
                    <a:pPr>
                      <a:defRPr sz="900" b="0" i="0" u="none" strike="noStrike" kern="1200" baseline="0">
                        <a:solidFill>
                          <a:schemeClr val="tx2">
                            <a:lumMod val="75000"/>
                            <a:lumOff val="25000"/>
                          </a:schemeClr>
                        </a:solidFill>
                        <a:latin typeface="+mn-lt"/>
                        <a:ea typeface="+mn-ea"/>
                        <a:cs typeface="+mn-cs"/>
                      </a:defRPr>
                    </a:pPr>
                    <a:fld id="{F14B2C24-D230-4239-91DB-F609D31131C0}" type="CELLRANGE">
                      <a:rPr lang="en-US">
                        <a:solidFill>
                          <a:schemeClr val="tx2">
                            <a:lumMod val="75000"/>
                            <a:lumOff val="25000"/>
                          </a:schemeClr>
                        </a:solidFill>
                      </a:rPr>
                      <a:pPr>
                        <a:defRPr>
                          <a:solidFill>
                            <a:schemeClr val="tx2">
                              <a:lumMod val="75000"/>
                              <a:lumOff val="25000"/>
                            </a:schemeClr>
                          </a:solidFill>
                        </a:defRPr>
                      </a:pPr>
                      <a:t>[PLAGECELL]</a:t>
                    </a:fld>
                    <a:endParaRPr lang="en-US" baseline="0">
                      <a:solidFill>
                        <a:schemeClr val="tx2">
                          <a:lumMod val="75000"/>
                          <a:lumOff val="25000"/>
                        </a:schemeClr>
                      </a:solidFill>
                    </a:endParaRPr>
                  </a:p>
                  <a:p>
                    <a:pPr>
                      <a:defRPr>
                        <a:solidFill>
                          <a:schemeClr val="tx2">
                            <a:lumMod val="75000"/>
                            <a:lumOff val="25000"/>
                          </a:schemeClr>
                        </a:solidFill>
                      </a:defRPr>
                    </a:pPr>
                    <a:fld id="{759CCB5F-4026-45B7-A6E9-20DF49E9B788}" type="VALUE">
                      <a:rPr lang="en-US">
                        <a:solidFill>
                          <a:schemeClr val="tx2">
                            <a:lumMod val="75000"/>
                            <a:lumOff val="25000"/>
                          </a:schemeClr>
                        </a:solidFill>
                      </a:rPr>
                      <a:pPr>
                        <a:defRPr>
                          <a:solidFill>
                            <a:schemeClr val="tx2">
                              <a:lumMod val="75000"/>
                              <a:lumOff val="25000"/>
                            </a:schemeClr>
                          </a:solidFill>
                        </a:defRPr>
                      </a:pPr>
                      <a:t>[VALEUR]</a:t>
                    </a:fld>
                    <a:endParaRPr lang="fr-CH"/>
                  </a:p>
                </c:rich>
              </c:tx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900" b="0" i="0" u="none" strike="noStrike" kern="1200" baseline="0">
                      <a:solidFill>
                        <a:schemeClr val="tx2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fr-FR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separator>
</c:separator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C-FFCA-424E-8886-9329F31CD96E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2">
                        <a:lumMod val="75000"/>
                        <a:lumOff val="25000"/>
                      </a:schemeClr>
                    </a:solidFill>
                    <a:latin typeface="Aptos SemiBold" panose="020B0004020202020204" pitchFamily="34" charset="0"/>
                    <a:ea typeface="+mn-ea"/>
                    <a:cs typeface="+mn-cs"/>
                  </a:defRPr>
                </a:pPr>
                <a:endParaRPr lang="fr-F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eparator>
</c:separator>
            <c:showLeaderLines val="0"/>
            <c:extLst>
              <c:ext xmlns:c15="http://schemas.microsoft.com/office/drawing/2012/chart" uri="{CE6537A1-D6FC-4f65-9D91-7224C49458BB}">
                <c15:showDataLabelsRange val="1"/>
                <c15:showLeaderLines val="0"/>
              </c:ext>
            </c:extLst>
          </c:dLbls>
          <c:cat>
            <c:numRef>
              <c:f>'Etape 4'!$B$2:$B$25</c:f>
              <c:numCache>
                <c:formatCode>m/d/yyyy</c:formatCode>
                <c:ptCount val="24"/>
                <c:pt idx="0">
                  <c:v>45292</c:v>
                </c:pt>
                <c:pt idx="1">
                  <c:v>45323</c:v>
                </c:pt>
                <c:pt idx="2">
                  <c:v>45352</c:v>
                </c:pt>
                <c:pt idx="3">
                  <c:v>45383</c:v>
                </c:pt>
                <c:pt idx="4">
                  <c:v>45413</c:v>
                </c:pt>
                <c:pt idx="5">
                  <c:v>45444</c:v>
                </c:pt>
                <c:pt idx="6">
                  <c:v>45474</c:v>
                </c:pt>
                <c:pt idx="7">
                  <c:v>45505</c:v>
                </c:pt>
                <c:pt idx="8">
                  <c:v>45536</c:v>
                </c:pt>
                <c:pt idx="9">
                  <c:v>45566</c:v>
                </c:pt>
                <c:pt idx="10">
                  <c:v>45597</c:v>
                </c:pt>
                <c:pt idx="11">
                  <c:v>45627</c:v>
                </c:pt>
                <c:pt idx="12">
                  <c:v>45658</c:v>
                </c:pt>
                <c:pt idx="13">
                  <c:v>45689</c:v>
                </c:pt>
                <c:pt idx="14">
                  <c:v>45717</c:v>
                </c:pt>
                <c:pt idx="15">
                  <c:v>45748</c:v>
                </c:pt>
                <c:pt idx="16">
                  <c:v>45778</c:v>
                </c:pt>
                <c:pt idx="17">
                  <c:v>45809</c:v>
                </c:pt>
                <c:pt idx="18">
                  <c:v>45839</c:v>
                </c:pt>
                <c:pt idx="19">
                  <c:v>45870</c:v>
                </c:pt>
                <c:pt idx="20">
                  <c:v>45901</c:v>
                </c:pt>
                <c:pt idx="21">
                  <c:v>45931</c:v>
                </c:pt>
                <c:pt idx="22">
                  <c:v>45962</c:v>
                </c:pt>
                <c:pt idx="23">
                  <c:v>45992</c:v>
                </c:pt>
              </c:numCache>
            </c:numRef>
          </c:cat>
          <c:val>
            <c:numRef>
              <c:f>'Etape 4'!$E$2:$E$25</c:f>
              <c:numCache>
                <c:formatCode>_-* #\ ##0_-;\-* #\ ##0_-;_-* "-"??_-;_-@_-</c:formatCode>
                <c:ptCount val="24"/>
                <c:pt idx="0">
                  <c:v>7141</c:v>
                </c:pt>
                <c:pt idx="1">
                  <c:v>10092</c:v>
                </c:pt>
                <c:pt idx="2">
                  <c:v>9614</c:v>
                </c:pt>
                <c:pt idx="3">
                  <c:v>8486</c:v>
                </c:pt>
                <c:pt idx="4">
                  <c:v>7189</c:v>
                </c:pt>
                <c:pt idx="5">
                  <c:v>5842</c:v>
                </c:pt>
                <c:pt idx="6">
                  <c:v>5050</c:v>
                </c:pt>
                <c:pt idx="7">
                  <c:v>4021</c:v>
                </c:pt>
                <c:pt idx="8">
                  <c:v>11078</c:v>
                </c:pt>
                <c:pt idx="9">
                  <c:v>9763</c:v>
                </c:pt>
                <c:pt idx="10">
                  <c:v>7972</c:v>
                </c:pt>
                <c:pt idx="11">
                  <c:v>5172</c:v>
                </c:pt>
                <c:pt idx="12">
                  <c:v>4946</c:v>
                </c:pt>
                <c:pt idx="13">
                  <c:v>8369</c:v>
                </c:pt>
                <c:pt idx="14">
                  <c:v>8414</c:v>
                </c:pt>
                <c:pt idx="15">
                  <c:v>6173</c:v>
                </c:pt>
                <c:pt idx="16">
                  <c:v>5662</c:v>
                </c:pt>
                <c:pt idx="17">
                  <c:v>3943</c:v>
                </c:pt>
                <c:pt idx="18">
                  <c:v>4367</c:v>
                </c:pt>
                <c:pt idx="19">
                  <c:v>3866</c:v>
                </c:pt>
                <c:pt idx="20">
                  <c:v>10765</c:v>
                </c:pt>
                <c:pt idx="21">
                  <c:v>8073</c:v>
                </c:pt>
                <c:pt idx="22">
                  <c:v>5748</c:v>
                </c:pt>
                <c:pt idx="23">
                  <c:v>3919</c:v>
                </c:pt>
              </c:numCache>
            </c:numRef>
          </c:val>
          <c:extLst>
            <c:ext xmlns:c15="http://schemas.microsoft.com/office/drawing/2012/chart" uri="{02D57815-91ED-43cb-92C2-25804820EDAC}">
              <c15:datalabelsRange>
                <c15:f>'Etape 4'!$D$2:$D$25</c15:f>
                <c15:dlblRangeCache>
                  <c:ptCount val="24"/>
                  <c:pt idx="0">
                    <c:v>janvier</c:v>
                  </c:pt>
                  <c:pt idx="1">
                    <c:v>février</c:v>
                  </c:pt>
                  <c:pt idx="2">
                    <c:v>mars</c:v>
                  </c:pt>
                  <c:pt idx="3">
                    <c:v>avril</c:v>
                  </c:pt>
                  <c:pt idx="4">
                    <c:v>mai</c:v>
                  </c:pt>
                  <c:pt idx="5">
                    <c:v>juin</c:v>
                  </c:pt>
                  <c:pt idx="6">
                    <c:v>juillet</c:v>
                  </c:pt>
                  <c:pt idx="7">
                    <c:v>août</c:v>
                  </c:pt>
                  <c:pt idx="8">
                    <c:v>septembre</c:v>
                  </c:pt>
                  <c:pt idx="9">
                    <c:v>octobre</c:v>
                  </c:pt>
                  <c:pt idx="10">
                    <c:v>novembre</c:v>
                  </c:pt>
                  <c:pt idx="11">
                    <c:v>décembre</c:v>
                  </c:pt>
                  <c:pt idx="12">
                    <c:v>janvier</c:v>
                  </c:pt>
                  <c:pt idx="13">
                    <c:v>février</c:v>
                  </c:pt>
                  <c:pt idx="14">
                    <c:v>mars</c:v>
                  </c:pt>
                  <c:pt idx="15">
                    <c:v>avril</c:v>
                  </c:pt>
                  <c:pt idx="16">
                    <c:v>mai</c:v>
                  </c:pt>
                  <c:pt idx="17">
                    <c:v>juin</c:v>
                  </c:pt>
                  <c:pt idx="18">
                    <c:v>juillet</c:v>
                  </c:pt>
                  <c:pt idx="19">
                    <c:v>août</c:v>
                  </c:pt>
                  <c:pt idx="20">
                    <c:v>septembre</c:v>
                  </c:pt>
                  <c:pt idx="21">
                    <c:v>octobre</c:v>
                  </c:pt>
                  <c:pt idx="22">
                    <c:v>novembre</c:v>
                  </c:pt>
                  <c:pt idx="23">
                    <c:v>décembre</c:v>
                  </c:pt>
                </c15:dlblRangeCache>
              </c15:datalabelsRange>
            </c:ext>
            <c:ext xmlns:c16="http://schemas.microsoft.com/office/drawing/2014/chart" uri="{C3380CC4-5D6E-409C-BE32-E72D297353CC}">
              <c16:uniqueId val="{00000000-526A-4715-B5DD-03DE8F0229F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757692575"/>
        <c:axId val="2095217935"/>
      </c:areaChart>
      <c:dateAx>
        <c:axId val="1757692575"/>
        <c:scaling>
          <c:orientation val="minMax"/>
        </c:scaling>
        <c:delete val="0"/>
        <c:axPos val="b"/>
        <c:numFmt formatCode="m/d/yyyy" sourceLinked="1"/>
        <c:majorTickMark val="out"/>
        <c:minorTickMark val="none"/>
        <c:tickLblPos val="nextTo"/>
        <c:spPr>
          <a:noFill/>
          <a:ln w="1587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2095217935"/>
        <c:crosses val="autoZero"/>
        <c:auto val="1"/>
        <c:lblOffset val="100"/>
        <c:baseTimeUnit val="months"/>
        <c:majorUnit val="3"/>
        <c:majorTimeUnit val="months"/>
      </c:dateAx>
      <c:valAx>
        <c:axId val="2095217935"/>
        <c:scaling>
          <c:orientation val="minMax"/>
        </c:scaling>
        <c:delete val="0"/>
        <c:axPos val="l"/>
        <c:numFmt formatCode="_-* #\ ##0_-;\-* #\ ##0_-;_-* &quot;-&quot;??_-;_-@_-" sourceLinked="1"/>
        <c:majorTickMark val="out"/>
        <c:minorTickMark val="none"/>
        <c:tickLblPos val="nextTo"/>
        <c:spPr>
          <a:noFill/>
          <a:ln w="15875">
            <a:solidFill>
              <a:schemeClr val="tx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757692575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 algn="l">
              <a:defRPr sz="1400" b="0" i="0" u="none" strike="noStrike" kern="1200" spc="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fr-CH" b="1">
                <a:solidFill>
                  <a:schemeClr val="tx1"/>
                </a:solidFill>
              </a:rPr>
              <a:t>Prêts</a:t>
            </a:r>
            <a:r>
              <a:rPr lang="fr-CH" b="1" baseline="0">
                <a:solidFill>
                  <a:schemeClr val="tx1"/>
                </a:solidFill>
              </a:rPr>
              <a:t> locaux</a:t>
            </a:r>
          </a:p>
          <a:p>
            <a:pPr algn="l">
              <a:defRPr>
                <a:solidFill>
                  <a:schemeClr val="tx1"/>
                </a:solidFill>
              </a:defRPr>
            </a:pPr>
            <a:r>
              <a:rPr lang="fr-CH" sz="1200" baseline="0">
                <a:solidFill>
                  <a:schemeClr val="tx1"/>
                </a:solidFill>
              </a:rPr>
              <a:t>Saisonnalité</a:t>
            </a:r>
            <a:endParaRPr lang="fr-CH" sz="1200">
              <a:solidFill>
                <a:schemeClr val="tx1"/>
              </a:solidFill>
            </a:endParaRPr>
          </a:p>
        </c:rich>
      </c:tx>
      <c:layout>
        <c:manualLayout>
          <c:xMode val="edge"/>
          <c:yMode val="edge"/>
          <c:x val="3.1151074336046972E-2"/>
          <c:y val="2.169982328787824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algn="l">
            <a:defRPr sz="1400" b="0" i="0" u="none" strike="noStrike" kern="1200" spc="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>
        <c:manualLayout>
          <c:layoutTarget val="inner"/>
          <c:xMode val="edge"/>
          <c:yMode val="edge"/>
          <c:x val="8.3952009831643734E-2"/>
          <c:y val="0.15124487150763755"/>
          <c:w val="0.78961392907281935"/>
          <c:h val="0.7357041260419902"/>
        </c:manualLayout>
      </c:layout>
      <c:lineChart>
        <c:grouping val="standard"/>
        <c:varyColors val="0"/>
        <c:ser>
          <c:idx val="0"/>
          <c:order val="0"/>
          <c:tx>
            <c:v>2024</c:v>
          </c:tx>
          <c:spPr>
            <a:ln w="2222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Pt>
            <c:idx val="0"/>
            <c:marker>
              <c:symbol val="circle"/>
              <c:size val="8"/>
              <c:spPr>
                <a:noFill/>
                <a:ln w="19050">
                  <a:solidFill>
                    <a:schemeClr val="accent2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26-D84A-4DAC-9259-6D1B85259F9E}"/>
              </c:ext>
            </c:extLst>
          </c:dPt>
          <c:dPt>
            <c:idx val="1"/>
            <c:marker>
              <c:symbol val="circle"/>
              <c:size val="8"/>
              <c:spPr>
                <a:noFill/>
                <a:ln w="19050">
                  <a:solidFill>
                    <a:schemeClr val="accent2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25-D84A-4DAC-9259-6D1B85259F9E}"/>
              </c:ext>
            </c:extLst>
          </c:dPt>
          <c:dPt>
            <c:idx val="8"/>
            <c:marker>
              <c:symbol val="circle"/>
              <c:size val="8"/>
              <c:spPr>
                <a:noFill/>
                <a:ln w="19050">
                  <a:solidFill>
                    <a:schemeClr val="accent2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28-D84A-4DAC-9259-6D1B85259F9E}"/>
              </c:ext>
            </c:extLst>
          </c:dPt>
          <c:dPt>
            <c:idx val="11"/>
            <c:marker>
              <c:symbol val="circle"/>
              <c:size val="8"/>
              <c:spPr>
                <a:noFill/>
                <a:ln w="19050">
                  <a:solidFill>
                    <a:schemeClr val="accent2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27-D84A-4DAC-9259-6D1B85259F9E}"/>
              </c:ext>
            </c:extLst>
          </c:dPt>
          <c:dLbls>
            <c:dLbl>
              <c:idx val="0"/>
              <c:layout>
                <c:manualLayout>
                  <c:x val="-5.4573684340496184E-2"/>
                  <c:y val="-1.676167876881085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6-D84A-4DAC-9259-6D1B85259F9E}"/>
                </c:ext>
              </c:extLst>
            </c:dLbl>
            <c:dLbl>
              <c:idx val="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9-D84A-4DAC-9259-6D1B85259F9E}"/>
                </c:ext>
              </c:extLst>
            </c:dLbl>
            <c:dLbl>
              <c:idx val="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A-D84A-4DAC-9259-6D1B85259F9E}"/>
                </c:ext>
              </c:extLst>
            </c:dLbl>
            <c:dLbl>
              <c:idx val="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B-D84A-4DAC-9259-6D1B85259F9E}"/>
                </c:ext>
              </c:extLst>
            </c:dLbl>
            <c:dLbl>
              <c:idx val="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C-D84A-4DAC-9259-6D1B85259F9E}"/>
                </c:ext>
              </c:extLst>
            </c:dLbl>
            <c:dLbl>
              <c:idx val="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D-D84A-4DAC-9259-6D1B85259F9E}"/>
                </c:ext>
              </c:extLst>
            </c:dLbl>
            <c:dLbl>
              <c:idx val="7"/>
              <c:layout>
                <c:manualLayout>
                  <c:x val="2.3837173699201358E-3"/>
                  <c:y val="-5.9747867960892372E-3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E-D84A-4DAC-9259-6D1B85259F9E}"/>
                </c:ext>
              </c:extLst>
            </c:dLbl>
            <c:dLbl>
              <c:idx val="8"/>
              <c:layout>
                <c:manualLayout>
                  <c:x val="1.286760003645451E-3"/>
                  <c:y val="-2.1555852978909221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8-D84A-4DAC-9259-6D1B85259F9E}"/>
                </c:ext>
              </c:extLst>
            </c:dLbl>
            <c:dLbl>
              <c:idx val="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F-D84A-4DAC-9259-6D1B85259F9E}"/>
                </c:ext>
              </c:extLst>
            </c:dLbl>
            <c:dLbl>
              <c:idx val="1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0-D84A-4DAC-9259-6D1B85259F9E}"/>
                </c:ext>
              </c:extLst>
            </c:dLbl>
            <c:dLbl>
              <c:idx val="11"/>
              <c:layout>
                <c:manualLayout>
                  <c:x val="-9.5703052112784542E-3"/>
                  <c:y val="-3.3541288504155359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7-D84A-4DAC-9259-6D1B85259F9E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accent2"/>
                    </a:solidFill>
                    <a:latin typeface="+mn-lt"/>
                    <a:ea typeface="+mn-ea"/>
                    <a:cs typeface="+mn-cs"/>
                  </a:defRPr>
                </a:pPr>
                <a:endParaRPr lang="fr-F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'Etape 4'!$D$2:$D$13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</c:v>
                </c:pt>
                <c:pt idx="3">
                  <c:v>avril</c:v>
                </c:pt>
                <c:pt idx="4">
                  <c:v>mai</c:v>
                </c:pt>
                <c:pt idx="5">
                  <c:v>juin</c:v>
                </c:pt>
                <c:pt idx="6">
                  <c:v>juillet</c:v>
                </c:pt>
                <c:pt idx="7">
                  <c:v>août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'Etape 4'!$E$2:$E$13</c:f>
              <c:numCache>
                <c:formatCode>_-* #\ ##0_-;\-* #\ ##0_-;_-* "-"??_-;_-@_-</c:formatCode>
                <c:ptCount val="12"/>
                <c:pt idx="0">
                  <c:v>7141</c:v>
                </c:pt>
                <c:pt idx="1">
                  <c:v>10092</c:v>
                </c:pt>
                <c:pt idx="2">
                  <c:v>9614</c:v>
                </c:pt>
                <c:pt idx="3">
                  <c:v>8486</c:v>
                </c:pt>
                <c:pt idx="4">
                  <c:v>7189</c:v>
                </c:pt>
                <c:pt idx="5">
                  <c:v>5842</c:v>
                </c:pt>
                <c:pt idx="6">
                  <c:v>5050</c:v>
                </c:pt>
                <c:pt idx="7">
                  <c:v>4021</c:v>
                </c:pt>
                <c:pt idx="8">
                  <c:v>11078</c:v>
                </c:pt>
                <c:pt idx="9">
                  <c:v>9763</c:v>
                </c:pt>
                <c:pt idx="10">
                  <c:v>7972</c:v>
                </c:pt>
                <c:pt idx="11">
                  <c:v>5172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BC24-4ED6-B30F-838D80D65EB6}"/>
            </c:ext>
          </c:extLst>
        </c:ser>
        <c:ser>
          <c:idx val="1"/>
          <c:order val="1"/>
          <c:tx>
            <c:v>2025</c:v>
          </c:tx>
          <c:spPr>
            <a:ln w="2222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Pt>
            <c:idx val="0"/>
            <c:marker>
              <c:symbol val="circle"/>
              <c:size val="8"/>
              <c:spPr>
                <a:noFill/>
                <a:ln w="19050">
                  <a:solidFill>
                    <a:schemeClr val="accent3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20-D84A-4DAC-9259-6D1B85259F9E}"/>
              </c:ext>
            </c:extLst>
          </c:dPt>
          <c:dPt>
            <c:idx val="2"/>
            <c:marker>
              <c:symbol val="circle"/>
              <c:size val="8"/>
              <c:spPr>
                <a:noFill/>
                <a:ln w="19050">
                  <a:solidFill>
                    <a:schemeClr val="accent3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21-D84A-4DAC-9259-6D1B85259F9E}"/>
              </c:ext>
            </c:extLst>
          </c:dPt>
          <c:dPt>
            <c:idx val="7"/>
            <c:marker>
              <c:symbol val="circle"/>
              <c:size val="8"/>
              <c:spPr>
                <a:noFill/>
                <a:ln w="19050">
                  <a:solidFill>
                    <a:schemeClr val="accent3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22-D84A-4DAC-9259-6D1B85259F9E}"/>
              </c:ext>
            </c:extLst>
          </c:dPt>
          <c:dPt>
            <c:idx val="8"/>
            <c:marker>
              <c:symbol val="circle"/>
              <c:size val="8"/>
              <c:spPr>
                <a:noFill/>
                <a:ln w="19050">
                  <a:solidFill>
                    <a:schemeClr val="accent3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1A-D84A-4DAC-9259-6D1B85259F9E}"/>
              </c:ext>
            </c:extLst>
          </c:dPt>
          <c:dPt>
            <c:idx val="11"/>
            <c:marker>
              <c:symbol val="circle"/>
              <c:size val="8"/>
              <c:spPr>
                <a:noFill/>
                <a:ln w="19050">
                  <a:solidFill>
                    <a:schemeClr val="accent3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24-D84A-4DAC-9259-6D1B85259F9E}"/>
              </c:ext>
            </c:extLst>
          </c:dPt>
          <c:dLbls>
            <c:dLbl>
              <c:idx val="0"/>
              <c:layout>
                <c:manualLayout>
                  <c:x val="-5.5276862139390218E-2"/>
                  <c:y val="1.080482293925536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0-D84A-4DAC-9259-6D1B85259F9E}"/>
                </c:ext>
              </c:extLst>
            </c:dLbl>
            <c:dLbl>
              <c:idx val="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F-D84A-4DAC-9259-6D1B85259F9E}"/>
                </c:ext>
              </c:extLst>
            </c:dLbl>
            <c:dLbl>
              <c:idx val="2"/>
              <c:layout>
                <c:manualLayout>
                  <c:x val="-2.7149750183629095E-2"/>
                  <c:y val="-2.035730942638456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1-D84A-4DAC-9259-6D1B85259F9E}"/>
                </c:ext>
              </c:extLst>
            </c:dLbl>
            <c:dLbl>
              <c:idx val="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E-D84A-4DAC-9259-6D1B85259F9E}"/>
                </c:ext>
              </c:extLst>
            </c:dLbl>
            <c:dLbl>
              <c:idx val="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D-D84A-4DAC-9259-6D1B85259F9E}"/>
                </c:ext>
              </c:extLst>
            </c:dLbl>
            <c:dLbl>
              <c:idx val="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B-D84A-4DAC-9259-6D1B85259F9E}"/>
                </c:ext>
              </c:extLst>
            </c:dLbl>
            <c:dLbl>
              <c:idx val="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C-D84A-4DAC-9259-6D1B85259F9E}"/>
                </c:ext>
              </c:extLst>
            </c:dLbl>
            <c:dLbl>
              <c:idx val="7"/>
              <c:layout>
                <c:manualLayout>
                  <c:x val="-2.574339458584101E-2"/>
                  <c:y val="2.279025846450141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2-D84A-4DAC-9259-6D1B85259F9E}"/>
                </c:ext>
              </c:extLst>
            </c:dLbl>
            <c:dLbl>
              <c:idx val="8"/>
              <c:layout>
                <c:manualLayout>
                  <c:x val="-6.6921486489075324E-2"/>
                  <c:y val="1.2164745190584468E-3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A-D84A-4DAC-9259-6D1B85259F9E}"/>
                </c:ext>
              </c:extLst>
            </c:dLbl>
            <c:dLbl>
              <c:idx val="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9-D84A-4DAC-9259-6D1B85259F9E}"/>
                </c:ext>
              </c:extLst>
            </c:dLbl>
            <c:dLbl>
              <c:idx val="1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8-D84A-4DAC-9259-6D1B85259F9E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accent3"/>
                    </a:solidFill>
                    <a:latin typeface="+mn-lt"/>
                    <a:ea typeface="+mn-ea"/>
                    <a:cs typeface="+mn-cs"/>
                  </a:defRPr>
                </a:pPr>
                <a:endParaRPr lang="fr-F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'Etape 4'!$D$2:$D$13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</c:v>
                </c:pt>
                <c:pt idx="3">
                  <c:v>avril</c:v>
                </c:pt>
                <c:pt idx="4">
                  <c:v>mai</c:v>
                </c:pt>
                <c:pt idx="5">
                  <c:v>juin</c:v>
                </c:pt>
                <c:pt idx="6">
                  <c:v>juillet</c:v>
                </c:pt>
                <c:pt idx="7">
                  <c:v>août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'Etape 4'!$E$14:$E$25</c:f>
              <c:numCache>
                <c:formatCode>_-* #\ ##0_-;\-* #\ ##0_-;_-* "-"??_-;_-@_-</c:formatCode>
                <c:ptCount val="12"/>
                <c:pt idx="0">
                  <c:v>4946</c:v>
                </c:pt>
                <c:pt idx="1">
                  <c:v>8369</c:v>
                </c:pt>
                <c:pt idx="2">
                  <c:v>8414</c:v>
                </c:pt>
                <c:pt idx="3">
                  <c:v>6173</c:v>
                </c:pt>
                <c:pt idx="4">
                  <c:v>5662</c:v>
                </c:pt>
                <c:pt idx="5">
                  <c:v>3943</c:v>
                </c:pt>
                <c:pt idx="6">
                  <c:v>4367</c:v>
                </c:pt>
                <c:pt idx="7">
                  <c:v>3866</c:v>
                </c:pt>
                <c:pt idx="8">
                  <c:v>10765</c:v>
                </c:pt>
                <c:pt idx="9">
                  <c:v>8073</c:v>
                </c:pt>
                <c:pt idx="10">
                  <c:v>5748</c:v>
                </c:pt>
                <c:pt idx="11">
                  <c:v>3919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BC24-4ED6-B30F-838D80D65EB6}"/>
            </c:ext>
          </c:extLst>
        </c:ser>
        <c:ser>
          <c:idx val="2"/>
          <c:order val="2"/>
          <c:tx>
            <c:v>2026</c:v>
          </c:tx>
          <c:spPr>
            <a:ln w="2222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dPt>
            <c:idx val="0"/>
            <c:marker>
              <c:symbol val="circle"/>
              <c:size val="8"/>
              <c:spPr>
                <a:noFill/>
                <a:ln w="12700">
                  <a:solidFill>
                    <a:schemeClr val="accent4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23-D84A-4DAC-9259-6D1B85259F9E}"/>
              </c:ext>
            </c:extLst>
          </c:dPt>
          <c:dPt>
            <c:idx val="2"/>
            <c:marker>
              <c:symbol val="circle"/>
              <c:size val="8"/>
              <c:spPr>
                <a:noFill/>
                <a:ln w="12700">
                  <a:solidFill>
                    <a:schemeClr val="accent4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16-D84A-4DAC-9259-6D1B85259F9E}"/>
              </c:ext>
            </c:extLst>
          </c:dPt>
          <c:dPt>
            <c:idx val="6"/>
            <c:marker>
              <c:symbol val="circle"/>
              <c:size val="8"/>
              <c:spPr>
                <a:noFill/>
                <a:ln w="12700">
                  <a:solidFill>
                    <a:schemeClr val="accent4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17-D84A-4DAC-9259-6D1B85259F9E}"/>
              </c:ext>
            </c:extLst>
          </c:dPt>
          <c:dLbls>
            <c:dLbl>
              <c:idx val="0"/>
              <c:layout>
                <c:manualLayout>
                  <c:x val="-5.7414526722317796E-2"/>
                  <c:y val="-8.9226441371656684E-17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3-D84A-4DAC-9259-6D1B85259F9E}"/>
                </c:ext>
              </c:extLst>
            </c:dLbl>
            <c:dLbl>
              <c:idx val="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D84A-4DAC-9259-6D1B85259F9E}"/>
                </c:ext>
              </c:extLst>
            </c:dLbl>
            <c:dLbl>
              <c:idx val="2"/>
              <c:layout>
                <c:manualLayout>
                  <c:x val="-4.1876729499017377E-2"/>
                  <c:y val="-2.4110921336472323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6-D84A-4DAC-9259-6D1B85259F9E}"/>
                </c:ext>
              </c:extLst>
            </c:dLbl>
            <c:dLbl>
              <c:idx val="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4-D84A-4DAC-9259-6D1B85259F9E}"/>
                </c:ext>
              </c:extLst>
            </c:dLbl>
            <c:dLbl>
              <c:idx val="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3-D84A-4DAC-9259-6D1B85259F9E}"/>
                </c:ext>
              </c:extLst>
            </c:dLbl>
            <c:dLbl>
              <c:idx val="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2-D84A-4DAC-9259-6D1B85259F9E}"/>
                </c:ext>
              </c:extLst>
            </c:dLbl>
            <c:dLbl>
              <c:idx val="6"/>
              <c:layout>
                <c:manualLayout>
                  <c:x val="-5.0769437080148867E-3"/>
                  <c:y val="-4.7941742100985436E-3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7-D84A-4DAC-9259-6D1B85259F9E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accent4"/>
                    </a:solidFill>
                    <a:latin typeface="+mn-lt"/>
                    <a:ea typeface="+mn-ea"/>
                    <a:cs typeface="+mn-cs"/>
                  </a:defRPr>
                </a:pPr>
                <a:endParaRPr lang="fr-FR"/>
              </a:p>
            </c:txPr>
            <c:dLblPos val="l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'Etape 4'!$D$2:$D$13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</c:v>
                </c:pt>
                <c:pt idx="3">
                  <c:v>avril</c:v>
                </c:pt>
                <c:pt idx="4">
                  <c:v>mai</c:v>
                </c:pt>
                <c:pt idx="5">
                  <c:v>juin</c:v>
                </c:pt>
                <c:pt idx="6">
                  <c:v>juillet</c:v>
                </c:pt>
                <c:pt idx="7">
                  <c:v>août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'Etape 4'!$E$26:$E$37</c:f>
              <c:numCache>
                <c:formatCode>_-* #\ ##0_-;\-* #\ ##0_-;_-* "-"??_-;_-@_-</c:formatCode>
                <c:ptCount val="12"/>
                <c:pt idx="0">
                  <c:v>5252</c:v>
                </c:pt>
                <c:pt idx="1">
                  <c:v>7084</c:v>
                </c:pt>
                <c:pt idx="2">
                  <c:v>7262</c:v>
                </c:pt>
                <c:pt idx="3">
                  <c:v>5243</c:v>
                </c:pt>
                <c:pt idx="4">
                  <c:v>4215</c:v>
                </c:pt>
                <c:pt idx="5">
                  <c:v>3141</c:v>
                </c:pt>
                <c:pt idx="6">
                  <c:v>1639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BC24-4ED6-B30F-838D80D65EB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757692575"/>
        <c:axId val="2095217935"/>
      </c:lineChart>
      <c:catAx>
        <c:axId val="1757692575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1587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2095217935"/>
        <c:crosses val="autoZero"/>
        <c:auto val="1"/>
        <c:lblAlgn val="ctr"/>
        <c:lblOffset val="100"/>
        <c:noMultiLvlLbl val="1"/>
      </c:catAx>
      <c:valAx>
        <c:axId val="2095217935"/>
        <c:scaling>
          <c:orientation val="minMax"/>
        </c:scaling>
        <c:delete val="0"/>
        <c:axPos val="l"/>
        <c:numFmt formatCode="_-* #\ ##0_-;\-* #\ ##0_-;_-* &quot;-&quot;??_-;_-@_-" sourceLinked="1"/>
        <c:majorTickMark val="out"/>
        <c:minorTickMark val="none"/>
        <c:tickLblPos val="nextTo"/>
        <c:spPr>
          <a:noFill/>
          <a:ln w="15875">
            <a:solidFill>
              <a:schemeClr val="tx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757692575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 algn="l"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fr-CH" sz="1400" b="1" i="0" u="none" strike="noStrike" kern="1200" spc="0" baseline="0">
                <a:solidFill>
                  <a:schemeClr val="tx1"/>
                </a:solidFill>
              </a:rPr>
              <a:t>Prêts locaux</a:t>
            </a:r>
          </a:p>
          <a:p>
            <a:pPr algn="l">
              <a:defRPr/>
            </a:pPr>
            <a:r>
              <a:rPr lang="fr-CH" sz="1200" b="0" i="0" u="none" strike="noStrike" kern="1200" spc="0" baseline="0">
                <a:solidFill>
                  <a:schemeClr val="tx1"/>
                </a:solidFill>
              </a:rPr>
              <a:t>Évolution</a:t>
            </a:r>
          </a:p>
        </c:rich>
      </c:tx>
      <c:layout>
        <c:manualLayout>
          <c:xMode val="edge"/>
          <c:yMode val="edge"/>
          <c:x val="1.3261105092091007E-2"/>
          <c:y val="2.6666666666666668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algn="l"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>
        <c:manualLayout>
          <c:layoutTarget val="inner"/>
          <c:xMode val="edge"/>
          <c:yMode val="edge"/>
          <c:x val="7.0494994281275439E-2"/>
          <c:y val="0.13598374321246587"/>
          <c:w val="0.89708305963379709"/>
          <c:h val="0.7451501985391189"/>
        </c:manualLayout>
      </c:layout>
      <c:areaChart>
        <c:grouping val="standard"/>
        <c:varyColors val="0"/>
        <c:ser>
          <c:idx val="0"/>
          <c:order val="0"/>
          <c:spPr>
            <a:solidFill>
              <a:schemeClr val="tx2">
                <a:lumMod val="10000"/>
                <a:lumOff val="90000"/>
              </a:schemeClr>
            </a:solidFill>
            <a:ln w="15875">
              <a:solidFill>
                <a:schemeClr val="tx2">
                  <a:lumMod val="75000"/>
                  <a:lumOff val="25000"/>
                </a:schemeClr>
              </a:solidFill>
            </a:ln>
            <a:effectLst/>
          </c:spPr>
          <c:dLbls>
            <c:dLbl>
              <c:idx val="0"/>
              <c:layout>
                <c:manualLayout>
                  <c:x val="2.1867983881391748E-2"/>
                  <c:y val="-0.1957013228523061"/>
                </c:manualLayout>
              </c:layout>
              <c:tx>
                <c:rich>
                  <a:bodyPr/>
                  <a:lstStyle/>
                  <a:p>
                    <a:fld id="{5DC52881-FD88-4E3A-9365-F593A083C573}" type="CELLRANGE">
                      <a:rPr lang="en-US"/>
                      <a:pPr/>
                      <a:t>[PLAGECELL]</a:t>
                    </a:fld>
                    <a:endParaRPr lang="en-US" baseline="0"/>
                  </a:p>
                  <a:p>
                    <a:fld id="{949042DA-67D2-4E68-856A-7553E80F3A91}" type="VALUE">
                      <a:rPr lang="en-US"/>
                      <a:pPr/>
                      <a:t>[VALEUR]</a:t>
                    </a:fld>
                    <a:endParaRPr lang="fr-CH"/>
                  </a:p>
                </c:rich>
              </c:tx>
              <c:showLegendKey val="0"/>
              <c:showVal val="1"/>
              <c:showCatName val="0"/>
              <c:showSerName val="0"/>
              <c:showPercent val="0"/>
              <c:showBubbleSize val="0"/>
              <c:separator>
</c:separator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0-25A0-42BC-B31F-57DFA84287FE}"/>
                </c:ext>
              </c:extLst>
            </c:dLbl>
            <c:dLbl>
              <c:idx val="1"/>
              <c:layout>
                <c:manualLayout>
                  <c:x val="5.132644677709684E-3"/>
                  <c:y val="-0.34068707795811493"/>
                </c:manualLayout>
              </c:layout>
              <c:tx>
                <c:rich>
                  <a:bodyPr/>
                  <a:lstStyle/>
                  <a:p>
                    <a:fld id="{36B26C50-A509-47D4-8E6F-227ECD83AEE9}" type="CELLRANGE">
                      <a:rPr lang="en-US"/>
                      <a:pPr/>
                      <a:t>[PLAGECELL]</a:t>
                    </a:fld>
                    <a:endParaRPr lang="en-US" baseline="0"/>
                  </a:p>
                  <a:p>
                    <a:fld id="{05499332-A6C2-4834-B509-1A753F9D8D90}" type="VALUE">
                      <a:rPr lang="en-US"/>
                      <a:pPr/>
                      <a:t>[VALEUR]</a:t>
                    </a:fld>
                    <a:endParaRPr lang="fr-CH"/>
                  </a:p>
                </c:rich>
              </c:tx>
              <c:showLegendKey val="0"/>
              <c:showVal val="1"/>
              <c:showCatName val="0"/>
              <c:showSerName val="0"/>
              <c:showPercent val="0"/>
              <c:showBubbleSize val="0"/>
              <c:separator>
</c:separator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1-25A0-42BC-B31F-57DFA84287FE}"/>
                </c:ext>
              </c:extLst>
            </c:dLbl>
            <c:dLbl>
              <c:idx val="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25A0-42BC-B31F-57DFA84287FE}"/>
                </c:ext>
              </c:extLst>
            </c:dLbl>
            <c:dLbl>
              <c:idx val="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25A0-42BC-B31F-57DFA84287FE}"/>
                </c:ext>
              </c:extLst>
            </c:dLbl>
            <c:dLbl>
              <c:idx val="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25A0-42BC-B31F-57DFA84287FE}"/>
                </c:ext>
              </c:extLst>
            </c:dLbl>
            <c:dLbl>
              <c:idx val="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25A0-42BC-B31F-57DFA84287FE}"/>
                </c:ext>
              </c:extLst>
            </c:dLbl>
            <c:dLbl>
              <c:idx val="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25A0-42BC-B31F-57DFA84287FE}"/>
                </c:ext>
              </c:extLst>
            </c:dLbl>
            <c:dLbl>
              <c:idx val="7"/>
              <c:layout>
                <c:manualLayout>
                  <c:x val="2.4189808990201375E-4"/>
                  <c:y val="-8.6996491109970459E-2"/>
                </c:manualLayout>
              </c:layout>
              <c:tx>
                <c:rich>
                  <a:bodyPr/>
                  <a:lstStyle/>
                  <a:p>
                    <a:fld id="{721ECCF1-EFD2-4DA5-8CA8-F353E8A07CBB}" type="CELLRANGE">
                      <a:rPr lang="en-US"/>
                      <a:pPr/>
                      <a:t>[PLAGECELL]</a:t>
                    </a:fld>
                    <a:endParaRPr lang="en-US" baseline="0"/>
                  </a:p>
                  <a:p>
                    <a:fld id="{3F204113-3B1A-4DBF-A9B0-7E916AB04ABF}" type="VALUE">
                      <a:rPr lang="en-US"/>
                      <a:pPr/>
                      <a:t>[VALEUR]</a:t>
                    </a:fld>
                    <a:endParaRPr lang="fr-CH"/>
                  </a:p>
                </c:rich>
              </c:tx>
              <c:showLegendKey val="0"/>
              <c:showVal val="1"/>
              <c:showCatName val="0"/>
              <c:showSerName val="0"/>
              <c:showPercent val="0"/>
              <c:showBubbleSize val="0"/>
              <c:separator>
</c:separator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7-25A0-42BC-B31F-57DFA84287FE}"/>
                </c:ext>
              </c:extLst>
            </c:dLbl>
            <c:dLbl>
              <c:idx val="8"/>
              <c:layout>
                <c:manualLayout>
                  <c:x val="5.6340445326622164E-4"/>
                  <c:y val="-0.37209794330177087"/>
                </c:manualLayout>
              </c:layout>
              <c:tx>
                <c:rich>
                  <a:bodyPr/>
                  <a:lstStyle/>
                  <a:p>
                    <a:fld id="{3C559A25-C124-4894-B1B1-E5838837DB73}" type="CELLRANGE">
                      <a:rPr lang="en-US"/>
                      <a:pPr/>
                      <a:t>[PLAGECELL]</a:t>
                    </a:fld>
                    <a:endParaRPr lang="en-US" baseline="0"/>
                  </a:p>
                  <a:p>
                    <a:fld id="{7974DC61-2036-4859-879E-BBCC63838623}" type="VALUE">
                      <a:rPr lang="en-US"/>
                      <a:pPr/>
                      <a:t>[VALEUR]</a:t>
                    </a:fld>
                    <a:endParaRPr lang="fr-CH"/>
                  </a:p>
                </c:rich>
              </c:tx>
              <c:showLegendKey val="0"/>
              <c:showVal val="1"/>
              <c:showCatName val="0"/>
              <c:showSerName val="0"/>
              <c:showPercent val="0"/>
              <c:showBubbleSize val="0"/>
              <c:separator>
</c:separator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8-25A0-42BC-B31F-57DFA84287FE}"/>
                </c:ext>
              </c:extLst>
            </c:dLbl>
            <c:dLbl>
              <c:idx val="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25A0-42BC-B31F-57DFA84287FE}"/>
                </c:ext>
              </c:extLst>
            </c:dLbl>
            <c:dLbl>
              <c:idx val="1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A-25A0-42BC-B31F-57DFA84287FE}"/>
                </c:ext>
              </c:extLst>
            </c:dLbl>
            <c:dLbl>
              <c:idx val="1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B-25A0-42BC-B31F-57DFA84287FE}"/>
                </c:ext>
              </c:extLst>
            </c:dLbl>
            <c:dLbl>
              <c:idx val="12"/>
              <c:layout>
                <c:manualLayout>
                  <c:x val="4.5650002922226242E-3"/>
                  <c:y val="-0.11356235336595659"/>
                </c:manualLayout>
              </c:layout>
              <c:tx>
                <c:rich>
                  <a:bodyPr/>
                  <a:lstStyle/>
                  <a:p>
                    <a:fld id="{32E11DF7-1852-431D-8E8A-F544CA667638}" type="CELLRANGE">
                      <a:rPr lang="en-US"/>
                      <a:pPr/>
                      <a:t>[PLAGECELL]</a:t>
                    </a:fld>
                    <a:endParaRPr lang="en-US" baseline="0"/>
                  </a:p>
                  <a:p>
                    <a:fld id="{E31E61BE-756D-4D4C-A9A0-2864C402FFA2}" type="VALUE">
                      <a:rPr lang="en-US"/>
                      <a:pPr/>
                      <a:t>[VALEUR]</a:t>
                    </a:fld>
                    <a:endParaRPr lang="fr-CH"/>
                  </a:p>
                </c:rich>
              </c:tx>
              <c:showLegendKey val="0"/>
              <c:showVal val="1"/>
              <c:showCatName val="0"/>
              <c:showSerName val="0"/>
              <c:showPercent val="0"/>
              <c:showBubbleSize val="0"/>
              <c:separator>
</c:separator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C-25A0-42BC-B31F-57DFA84287FE}"/>
                </c:ext>
              </c:extLst>
            </c:dLbl>
            <c:dLbl>
              <c:idx val="1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D-25A0-42BC-B31F-57DFA84287FE}"/>
                </c:ext>
              </c:extLst>
            </c:dLbl>
            <c:dLbl>
              <c:idx val="14"/>
              <c:layout>
                <c:manualLayout>
                  <c:x val="-2.2260923532478531E-3"/>
                  <c:y val="-0.29961771551863997"/>
                </c:manualLayout>
              </c:layout>
              <c:tx>
                <c:rich>
                  <a:bodyPr/>
                  <a:lstStyle/>
                  <a:p>
                    <a:fld id="{7EF4D2AB-9668-4362-B1AF-3D6DD859BBB6}" type="CELLRANGE">
                      <a:rPr lang="en-US"/>
                      <a:pPr/>
                      <a:t>[PLAGECELL]</a:t>
                    </a:fld>
                    <a:endParaRPr lang="en-US" baseline="0"/>
                  </a:p>
                  <a:p>
                    <a:fld id="{DB9A3F91-E99F-4FD1-9198-06A099070EEA}" type="VALUE">
                      <a:rPr lang="en-US"/>
                      <a:pPr/>
                      <a:t>[VALEUR]</a:t>
                    </a:fld>
                    <a:endParaRPr lang="fr-CH"/>
                  </a:p>
                </c:rich>
              </c:tx>
              <c:showLegendKey val="0"/>
              <c:showVal val="1"/>
              <c:showCatName val="0"/>
              <c:showSerName val="0"/>
              <c:showPercent val="0"/>
              <c:showBubbleSize val="0"/>
              <c:separator>
</c:separator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E-25A0-42BC-B31F-57DFA84287FE}"/>
                </c:ext>
              </c:extLst>
            </c:dLbl>
            <c:dLbl>
              <c:idx val="1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F-25A0-42BC-B31F-57DFA84287FE}"/>
                </c:ext>
              </c:extLst>
            </c:dLbl>
            <c:dLbl>
              <c:idx val="1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0-25A0-42BC-B31F-57DFA84287FE}"/>
                </c:ext>
              </c:extLst>
            </c:dLbl>
            <c:dLbl>
              <c:idx val="17"/>
              <c:layout>
                <c:manualLayout>
                  <c:x val="-3.1239976973417675E-3"/>
                  <c:y val="-8.697143853781715E-2"/>
                </c:manualLayout>
              </c:layout>
              <c:tx>
                <c:rich>
                  <a:bodyPr/>
                  <a:lstStyle/>
                  <a:p>
                    <a:fld id="{63E8F663-CB8E-4C4B-904E-3CD7D6F31524}" type="CELLRANGE">
                      <a:rPr lang="en-US"/>
                      <a:pPr/>
                      <a:t>[PLAGECELL]</a:t>
                    </a:fld>
                    <a:endParaRPr lang="en-US" baseline="0"/>
                  </a:p>
                  <a:p>
                    <a:fld id="{3793A7E0-FDE9-42CD-9B8F-892B78F343E4}" type="VALUE">
                      <a:rPr lang="en-US"/>
                      <a:pPr/>
                      <a:t>[VALEUR]</a:t>
                    </a:fld>
                    <a:endParaRPr lang="fr-CH"/>
                  </a:p>
                </c:rich>
              </c:tx>
              <c:showLegendKey val="0"/>
              <c:showVal val="1"/>
              <c:showCatName val="0"/>
              <c:showSerName val="0"/>
              <c:showPercent val="0"/>
              <c:showBubbleSize val="0"/>
              <c:separator>
</c:separator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11-25A0-42BC-B31F-57DFA84287FE}"/>
                </c:ext>
              </c:extLst>
            </c:dLbl>
            <c:dLbl>
              <c:idx val="18"/>
              <c:layout>
                <c:manualLayout>
                  <c:x val="-1.1949292846495556E-3"/>
                  <c:y val="-0.16913542877353221"/>
                </c:manualLayout>
              </c:layout>
              <c:tx>
                <c:rich>
                  <a:bodyPr/>
                  <a:lstStyle/>
                  <a:p>
                    <a:fld id="{1EE6DBE8-0E71-4769-8912-6540141EBCF3}" type="CELLRANGE">
                      <a:rPr lang="en-US">
                        <a:solidFill>
                          <a:schemeClr val="tx2">
                            <a:lumMod val="75000"/>
                            <a:lumOff val="25000"/>
                          </a:schemeClr>
                        </a:solidFill>
                      </a:rPr>
                      <a:pPr/>
                      <a:t>[PLAGECELL]</a:t>
                    </a:fld>
                    <a:endParaRPr lang="en-US" baseline="0">
                      <a:solidFill>
                        <a:schemeClr val="tx2">
                          <a:lumMod val="75000"/>
                          <a:lumOff val="25000"/>
                        </a:schemeClr>
                      </a:solidFill>
                    </a:endParaRPr>
                  </a:p>
                  <a:p>
                    <a:fld id="{B3E12D77-F0DB-4276-B2D6-A54F89828FD2}" type="VALUE">
                      <a:rPr lang="en-US">
                        <a:solidFill>
                          <a:schemeClr val="tx2">
                            <a:lumMod val="75000"/>
                            <a:lumOff val="25000"/>
                          </a:schemeClr>
                        </a:solidFill>
                      </a:rPr>
                      <a:pPr/>
                      <a:t>[VALEUR]</a:t>
                    </a:fld>
                    <a:endParaRPr lang="fr-CH"/>
                  </a:p>
                </c:rich>
              </c:tx>
              <c:showLegendKey val="0"/>
              <c:showVal val="1"/>
              <c:showCatName val="0"/>
              <c:showSerName val="0"/>
              <c:showPercent val="0"/>
              <c:showBubbleSize val="0"/>
              <c:separator>
</c:separator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12-25A0-42BC-B31F-57DFA84287FE}"/>
                </c:ext>
              </c:extLst>
            </c:dLbl>
            <c:dLbl>
              <c:idx val="19"/>
              <c:layout>
                <c:manualLayout>
                  <c:x val="2.4298389319396779E-3"/>
                  <c:y val="-8.4555108391578968E-2"/>
                </c:manualLayout>
              </c:layout>
              <c:tx>
                <c:rich>
                  <a:bodyPr/>
                  <a:lstStyle/>
                  <a:p>
                    <a:fld id="{40D5BA73-CE3D-479B-8277-A60D5B372781}" type="CELLRANGE">
                      <a:rPr lang="en-US"/>
                      <a:pPr/>
                      <a:t>[PLAGECELL]</a:t>
                    </a:fld>
                    <a:endParaRPr lang="en-US" baseline="0"/>
                  </a:p>
                  <a:p>
                    <a:fld id="{965E6E22-F90E-4691-BFD1-C992A2F7B5E7}" type="VALUE">
                      <a:rPr lang="en-US"/>
                      <a:pPr/>
                      <a:t>[VALEUR]</a:t>
                    </a:fld>
                    <a:endParaRPr lang="fr-CH"/>
                  </a:p>
                </c:rich>
              </c:tx>
              <c:showLegendKey val="0"/>
              <c:showVal val="1"/>
              <c:showCatName val="0"/>
              <c:showSerName val="0"/>
              <c:showPercent val="0"/>
              <c:showBubbleSize val="0"/>
              <c:separator>
</c:separator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13-25A0-42BC-B31F-57DFA84287FE}"/>
                </c:ext>
              </c:extLst>
            </c:dLbl>
            <c:dLbl>
              <c:idx val="20"/>
              <c:layout>
                <c:manualLayout>
                  <c:x val="4.8865080628559153E-3"/>
                  <c:y val="-0.36243306165756906"/>
                </c:manualLayout>
              </c:layout>
              <c:tx>
                <c:rich>
                  <a:bodyPr/>
                  <a:lstStyle/>
                  <a:p>
                    <a:fld id="{50FC5552-85C3-41E5-8385-7EBF6AC4645F}" type="CELLRANGE">
                      <a:rPr lang="en-US">
                        <a:solidFill>
                          <a:schemeClr val="tx2">
                            <a:lumMod val="75000"/>
                            <a:lumOff val="25000"/>
                          </a:schemeClr>
                        </a:solidFill>
                      </a:rPr>
                      <a:pPr/>
                      <a:t>[PLAGECELL]</a:t>
                    </a:fld>
                    <a:endParaRPr lang="en-US" baseline="0">
                      <a:solidFill>
                        <a:schemeClr val="tx2">
                          <a:lumMod val="75000"/>
                          <a:lumOff val="25000"/>
                        </a:schemeClr>
                      </a:solidFill>
                    </a:endParaRPr>
                  </a:p>
                  <a:p>
                    <a:fld id="{B3A71259-0D08-41FC-B750-D9B33563538E}" type="VALUE">
                      <a:rPr lang="en-US">
                        <a:solidFill>
                          <a:schemeClr val="tx2">
                            <a:lumMod val="75000"/>
                            <a:lumOff val="25000"/>
                          </a:schemeClr>
                        </a:solidFill>
                      </a:rPr>
                      <a:pPr/>
                      <a:t>[VALEUR]</a:t>
                    </a:fld>
                    <a:endParaRPr lang="fr-CH"/>
                  </a:p>
                </c:rich>
              </c:tx>
              <c:showLegendKey val="0"/>
              <c:showVal val="1"/>
              <c:showCatName val="0"/>
              <c:showSerName val="0"/>
              <c:showPercent val="0"/>
              <c:showBubbleSize val="0"/>
              <c:separator>
</c:separator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14-25A0-42BC-B31F-57DFA84287FE}"/>
                </c:ext>
              </c:extLst>
            </c:dLbl>
            <c:dLbl>
              <c:idx val="2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25A0-42BC-B31F-57DFA84287FE}"/>
                </c:ext>
              </c:extLst>
            </c:dLbl>
            <c:dLbl>
              <c:idx val="2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6-25A0-42BC-B31F-57DFA84287FE}"/>
                </c:ext>
              </c:extLst>
            </c:dLbl>
            <c:dLbl>
              <c:idx val="23"/>
              <c:layout>
                <c:manualLayout>
                  <c:x val="7.3636346727015928E-4"/>
                  <c:y val="-8.6958816631236086E-2"/>
                </c:manualLayout>
              </c:layout>
              <c:tx>
                <c:rich>
                  <a:bodyPr/>
                  <a:lstStyle/>
                  <a:p>
                    <a:fld id="{F49B7C7C-97B0-476B-B79B-08D9059428D2}" type="CELLRANGE">
                      <a:rPr lang="en-US">
                        <a:solidFill>
                          <a:schemeClr val="tx2">
                            <a:lumMod val="75000"/>
                            <a:lumOff val="25000"/>
                          </a:schemeClr>
                        </a:solidFill>
                      </a:rPr>
                      <a:pPr/>
                      <a:t>[PLAGECELL]</a:t>
                    </a:fld>
                    <a:endParaRPr lang="en-US" baseline="0">
                      <a:solidFill>
                        <a:schemeClr val="tx2">
                          <a:lumMod val="75000"/>
                          <a:lumOff val="25000"/>
                        </a:schemeClr>
                      </a:solidFill>
                    </a:endParaRPr>
                  </a:p>
                  <a:p>
                    <a:fld id="{2D4DE4FE-59EF-45B0-86B8-792E3132B87A}" type="VALUE">
                      <a:rPr lang="en-US">
                        <a:solidFill>
                          <a:schemeClr val="tx2">
                            <a:lumMod val="75000"/>
                            <a:lumOff val="25000"/>
                          </a:schemeClr>
                        </a:solidFill>
                      </a:rPr>
                      <a:pPr/>
                      <a:t>[VALEUR]</a:t>
                    </a:fld>
                    <a:endParaRPr lang="fr-CH"/>
                  </a:p>
                </c:rich>
              </c:tx>
              <c:showLegendKey val="0"/>
              <c:showVal val="1"/>
              <c:showCatName val="0"/>
              <c:showSerName val="0"/>
              <c:showPercent val="0"/>
              <c:showBubbleSize val="0"/>
              <c:separator>
</c:separator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17-25A0-42BC-B31F-57DFA84287FE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2">
                        <a:lumMod val="75000"/>
                        <a:lumOff val="25000"/>
                      </a:schemeClr>
                    </a:solidFill>
                    <a:latin typeface="Aptos SemiBold" panose="020B0004020202020204" pitchFamily="34" charset="0"/>
                    <a:ea typeface="+mn-ea"/>
                    <a:cs typeface="+mn-cs"/>
                  </a:defRPr>
                </a:pPr>
                <a:endParaRPr lang="fr-F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eparator>
</c:separator>
            <c:showLeaderLines val="0"/>
            <c:extLst>
              <c:ext xmlns:c15="http://schemas.microsoft.com/office/drawing/2012/chart" uri="{CE6537A1-D6FC-4f65-9D91-7224C49458BB}">
                <c15:showDataLabelsRange val="1"/>
                <c15:showLeaderLines val="0"/>
              </c:ext>
            </c:extLst>
          </c:dLbls>
          <c:cat>
            <c:numRef>
              <c:f>'Etape 5'!$B$2:$B$25</c:f>
              <c:numCache>
                <c:formatCode>m/d/yyyy</c:formatCode>
                <c:ptCount val="24"/>
                <c:pt idx="0">
                  <c:v>45292</c:v>
                </c:pt>
                <c:pt idx="1">
                  <c:v>45323</c:v>
                </c:pt>
                <c:pt idx="2">
                  <c:v>45352</c:v>
                </c:pt>
                <c:pt idx="3">
                  <c:v>45383</c:v>
                </c:pt>
                <c:pt idx="4">
                  <c:v>45413</c:v>
                </c:pt>
                <c:pt idx="5">
                  <c:v>45444</c:v>
                </c:pt>
                <c:pt idx="6">
                  <c:v>45474</c:v>
                </c:pt>
                <c:pt idx="7">
                  <c:v>45505</c:v>
                </c:pt>
                <c:pt idx="8">
                  <c:v>45536</c:v>
                </c:pt>
                <c:pt idx="9">
                  <c:v>45566</c:v>
                </c:pt>
                <c:pt idx="10">
                  <c:v>45597</c:v>
                </c:pt>
                <c:pt idx="11">
                  <c:v>45627</c:v>
                </c:pt>
                <c:pt idx="12">
                  <c:v>45658</c:v>
                </c:pt>
                <c:pt idx="13">
                  <c:v>45689</c:v>
                </c:pt>
                <c:pt idx="14">
                  <c:v>45717</c:v>
                </c:pt>
                <c:pt idx="15">
                  <c:v>45748</c:v>
                </c:pt>
                <c:pt idx="16">
                  <c:v>45778</c:v>
                </c:pt>
                <c:pt idx="17">
                  <c:v>45809</c:v>
                </c:pt>
                <c:pt idx="18">
                  <c:v>45839</c:v>
                </c:pt>
                <c:pt idx="19">
                  <c:v>45870</c:v>
                </c:pt>
                <c:pt idx="20">
                  <c:v>45901</c:v>
                </c:pt>
                <c:pt idx="21">
                  <c:v>45931</c:v>
                </c:pt>
                <c:pt idx="22">
                  <c:v>45962</c:v>
                </c:pt>
                <c:pt idx="23">
                  <c:v>45992</c:v>
                </c:pt>
              </c:numCache>
            </c:numRef>
          </c:cat>
          <c:val>
            <c:numRef>
              <c:f>'Etape 5'!$E$2:$E$25</c:f>
              <c:numCache>
                <c:formatCode>_-* #\ ##0_-;\-* #\ ##0_-;_-* "-"??_-;_-@_-</c:formatCode>
                <c:ptCount val="24"/>
                <c:pt idx="0">
                  <c:v>7141</c:v>
                </c:pt>
                <c:pt idx="1">
                  <c:v>10092</c:v>
                </c:pt>
                <c:pt idx="2">
                  <c:v>9614</c:v>
                </c:pt>
                <c:pt idx="3">
                  <c:v>8486</c:v>
                </c:pt>
                <c:pt idx="4">
                  <c:v>7189</c:v>
                </c:pt>
                <c:pt idx="5">
                  <c:v>5842</c:v>
                </c:pt>
                <c:pt idx="6">
                  <c:v>5050</c:v>
                </c:pt>
                <c:pt idx="7">
                  <c:v>4021</c:v>
                </c:pt>
                <c:pt idx="8">
                  <c:v>11078</c:v>
                </c:pt>
                <c:pt idx="9">
                  <c:v>9763</c:v>
                </c:pt>
                <c:pt idx="10">
                  <c:v>7972</c:v>
                </c:pt>
                <c:pt idx="11">
                  <c:v>5172</c:v>
                </c:pt>
                <c:pt idx="12">
                  <c:v>4946</c:v>
                </c:pt>
                <c:pt idx="13">
                  <c:v>8369</c:v>
                </c:pt>
                <c:pt idx="14">
                  <c:v>8414</c:v>
                </c:pt>
                <c:pt idx="15">
                  <c:v>6173</c:v>
                </c:pt>
                <c:pt idx="16">
                  <c:v>5662</c:v>
                </c:pt>
                <c:pt idx="17">
                  <c:v>3943</c:v>
                </c:pt>
                <c:pt idx="18">
                  <c:v>4367</c:v>
                </c:pt>
                <c:pt idx="19">
                  <c:v>3866</c:v>
                </c:pt>
                <c:pt idx="20">
                  <c:v>10765</c:v>
                </c:pt>
                <c:pt idx="21">
                  <c:v>8073</c:v>
                </c:pt>
                <c:pt idx="22">
                  <c:v>5748</c:v>
                </c:pt>
                <c:pt idx="23">
                  <c:v>3919</c:v>
                </c:pt>
              </c:numCache>
            </c:numRef>
          </c:val>
          <c:extLst>
            <c:ext xmlns:c15="http://schemas.microsoft.com/office/drawing/2012/chart" uri="{02D57815-91ED-43cb-92C2-25804820EDAC}">
              <c15:datalabelsRange>
                <c15:f>'Etape 5'!$D$2:$D$25</c15:f>
                <c15:dlblRangeCache>
                  <c:ptCount val="24"/>
                  <c:pt idx="0">
                    <c:v>janvier</c:v>
                  </c:pt>
                  <c:pt idx="1">
                    <c:v>février</c:v>
                  </c:pt>
                  <c:pt idx="2">
                    <c:v>mars</c:v>
                  </c:pt>
                  <c:pt idx="3">
                    <c:v>avril</c:v>
                  </c:pt>
                  <c:pt idx="4">
                    <c:v>mai</c:v>
                  </c:pt>
                  <c:pt idx="5">
                    <c:v>juin</c:v>
                  </c:pt>
                  <c:pt idx="6">
                    <c:v>juillet</c:v>
                  </c:pt>
                  <c:pt idx="7">
                    <c:v>août</c:v>
                  </c:pt>
                  <c:pt idx="8">
                    <c:v>septembre</c:v>
                  </c:pt>
                  <c:pt idx="9">
                    <c:v>octobre</c:v>
                  </c:pt>
                  <c:pt idx="10">
                    <c:v>novembre</c:v>
                  </c:pt>
                  <c:pt idx="11">
                    <c:v>décembre</c:v>
                  </c:pt>
                  <c:pt idx="12">
                    <c:v>janvier</c:v>
                  </c:pt>
                  <c:pt idx="13">
                    <c:v>février</c:v>
                  </c:pt>
                  <c:pt idx="14">
                    <c:v>mars</c:v>
                  </c:pt>
                  <c:pt idx="15">
                    <c:v>avril</c:v>
                  </c:pt>
                  <c:pt idx="16">
                    <c:v>mai</c:v>
                  </c:pt>
                  <c:pt idx="17">
                    <c:v>juin</c:v>
                  </c:pt>
                  <c:pt idx="18">
                    <c:v>juillet</c:v>
                  </c:pt>
                  <c:pt idx="19">
                    <c:v>août</c:v>
                  </c:pt>
                  <c:pt idx="20">
                    <c:v>septembre</c:v>
                  </c:pt>
                  <c:pt idx="21">
                    <c:v>octobre</c:v>
                  </c:pt>
                  <c:pt idx="22">
                    <c:v>novembre</c:v>
                  </c:pt>
                  <c:pt idx="23">
                    <c:v>décembre</c:v>
                  </c:pt>
                </c15:dlblRangeCache>
              </c15:datalabelsRange>
            </c:ext>
            <c:ext xmlns:c16="http://schemas.microsoft.com/office/drawing/2014/chart" uri="{C3380CC4-5D6E-409C-BE32-E72D297353CC}">
              <c16:uniqueId val="{00000024-25A0-42BC-B31F-57DFA84287F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757692575"/>
        <c:axId val="2095217935"/>
      </c:areaChart>
      <c:dateAx>
        <c:axId val="1757692575"/>
        <c:scaling>
          <c:orientation val="minMax"/>
        </c:scaling>
        <c:delete val="0"/>
        <c:axPos val="b"/>
        <c:numFmt formatCode="m/d/yyyy" sourceLinked="1"/>
        <c:majorTickMark val="out"/>
        <c:minorTickMark val="none"/>
        <c:tickLblPos val="nextTo"/>
        <c:spPr>
          <a:noFill/>
          <a:ln w="1587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2095217935"/>
        <c:crosses val="autoZero"/>
        <c:auto val="1"/>
        <c:lblOffset val="100"/>
        <c:baseTimeUnit val="months"/>
        <c:majorUnit val="3"/>
        <c:majorTimeUnit val="months"/>
      </c:dateAx>
      <c:valAx>
        <c:axId val="2095217935"/>
        <c:scaling>
          <c:orientation val="minMax"/>
        </c:scaling>
        <c:delete val="0"/>
        <c:axPos val="l"/>
        <c:numFmt formatCode="_-* #\ ##0_-;\-* #\ ##0_-;_-* &quot;-&quot;??_-;_-@_-" sourceLinked="1"/>
        <c:majorTickMark val="out"/>
        <c:minorTickMark val="none"/>
        <c:tickLblPos val="nextTo"/>
        <c:spPr>
          <a:noFill/>
          <a:ln w="15875">
            <a:solidFill>
              <a:schemeClr val="tx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757692575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 algn="l">
              <a:defRPr sz="1400" b="0" i="0" u="none" strike="noStrike" kern="1200" spc="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fr-CH" b="1">
                <a:solidFill>
                  <a:schemeClr val="tx1"/>
                </a:solidFill>
              </a:rPr>
              <a:t>Prêts</a:t>
            </a:r>
            <a:r>
              <a:rPr lang="fr-CH" b="1" baseline="0">
                <a:solidFill>
                  <a:schemeClr val="tx1"/>
                </a:solidFill>
              </a:rPr>
              <a:t> locaux</a:t>
            </a:r>
          </a:p>
          <a:p>
            <a:pPr algn="l">
              <a:defRPr>
                <a:solidFill>
                  <a:schemeClr val="tx1"/>
                </a:solidFill>
              </a:defRPr>
            </a:pPr>
            <a:r>
              <a:rPr lang="fr-CH" sz="1200" baseline="0">
                <a:solidFill>
                  <a:schemeClr val="tx1"/>
                </a:solidFill>
              </a:rPr>
              <a:t>Saisonnalité</a:t>
            </a:r>
            <a:endParaRPr lang="fr-CH" sz="1200">
              <a:solidFill>
                <a:schemeClr val="tx1"/>
              </a:solidFill>
            </a:endParaRPr>
          </a:p>
        </c:rich>
      </c:tx>
      <c:layout>
        <c:manualLayout>
          <c:xMode val="edge"/>
          <c:yMode val="edge"/>
          <c:x val="3.1151074336046972E-2"/>
          <c:y val="2.169982328787824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algn="l">
            <a:defRPr sz="1400" b="0" i="0" u="none" strike="noStrike" kern="1200" spc="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>
        <c:manualLayout>
          <c:layoutTarget val="inner"/>
          <c:xMode val="edge"/>
          <c:yMode val="edge"/>
          <c:x val="8.3952009831643734E-2"/>
          <c:y val="0.15124487150763755"/>
          <c:w val="0.78961392907281935"/>
          <c:h val="0.7357041260419902"/>
        </c:manualLayout>
      </c:layout>
      <c:lineChart>
        <c:grouping val="standard"/>
        <c:varyColors val="0"/>
        <c:ser>
          <c:idx val="0"/>
          <c:order val="0"/>
          <c:tx>
            <c:v>2024</c:v>
          </c:tx>
          <c:spPr>
            <a:ln w="2222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Pt>
            <c:idx val="0"/>
            <c:marker>
              <c:symbol val="circle"/>
              <c:size val="8"/>
              <c:spPr>
                <a:noFill/>
                <a:ln w="19050">
                  <a:solidFill>
                    <a:schemeClr val="accent2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0-8297-4FE6-AAB6-C3A728558F5A}"/>
              </c:ext>
            </c:extLst>
          </c:dPt>
          <c:dPt>
            <c:idx val="1"/>
            <c:marker>
              <c:symbol val="circle"/>
              <c:size val="8"/>
              <c:spPr>
                <a:noFill/>
                <a:ln w="19050">
                  <a:solidFill>
                    <a:schemeClr val="accent2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1-8297-4FE6-AAB6-C3A728558F5A}"/>
              </c:ext>
            </c:extLst>
          </c:dPt>
          <c:dPt>
            <c:idx val="8"/>
            <c:marker>
              <c:symbol val="circle"/>
              <c:size val="8"/>
              <c:spPr>
                <a:noFill/>
                <a:ln w="19050">
                  <a:solidFill>
                    <a:schemeClr val="accent2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2-8297-4FE6-AAB6-C3A728558F5A}"/>
              </c:ext>
            </c:extLst>
          </c:dPt>
          <c:dPt>
            <c:idx val="11"/>
            <c:marker>
              <c:symbol val="circle"/>
              <c:size val="8"/>
              <c:spPr>
                <a:noFill/>
                <a:ln w="19050">
                  <a:solidFill>
                    <a:schemeClr val="accent2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3-8297-4FE6-AAB6-C3A728558F5A}"/>
              </c:ext>
            </c:extLst>
          </c:dPt>
          <c:dLbls>
            <c:dLbl>
              <c:idx val="0"/>
              <c:layout>
                <c:manualLayout>
                  <c:x val="-5.4573684340496184E-2"/>
                  <c:y val="-1.676167876881085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8297-4FE6-AAB6-C3A728558F5A}"/>
                </c:ext>
              </c:extLst>
            </c:dLbl>
            <c:dLbl>
              <c:idx val="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8297-4FE6-AAB6-C3A728558F5A}"/>
                </c:ext>
              </c:extLst>
            </c:dLbl>
            <c:dLbl>
              <c:idx val="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8297-4FE6-AAB6-C3A728558F5A}"/>
                </c:ext>
              </c:extLst>
            </c:dLbl>
            <c:dLbl>
              <c:idx val="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8297-4FE6-AAB6-C3A728558F5A}"/>
                </c:ext>
              </c:extLst>
            </c:dLbl>
            <c:dLbl>
              <c:idx val="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8297-4FE6-AAB6-C3A728558F5A}"/>
                </c:ext>
              </c:extLst>
            </c:dLbl>
            <c:dLbl>
              <c:idx val="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8-8297-4FE6-AAB6-C3A728558F5A}"/>
                </c:ext>
              </c:extLst>
            </c:dLbl>
            <c:dLbl>
              <c:idx val="7"/>
              <c:layout>
                <c:manualLayout>
                  <c:x val="2.3837173699201358E-3"/>
                  <c:y val="-5.9747867960892372E-3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8297-4FE6-AAB6-C3A728558F5A}"/>
                </c:ext>
              </c:extLst>
            </c:dLbl>
            <c:dLbl>
              <c:idx val="8"/>
              <c:layout>
                <c:manualLayout>
                  <c:x val="1.286760003645451E-3"/>
                  <c:y val="-2.1555852978909221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8297-4FE6-AAB6-C3A728558F5A}"/>
                </c:ext>
              </c:extLst>
            </c:dLbl>
            <c:dLbl>
              <c:idx val="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A-8297-4FE6-AAB6-C3A728558F5A}"/>
                </c:ext>
              </c:extLst>
            </c:dLbl>
            <c:dLbl>
              <c:idx val="1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B-8297-4FE6-AAB6-C3A728558F5A}"/>
                </c:ext>
              </c:extLst>
            </c:dLbl>
            <c:dLbl>
              <c:idx val="11"/>
              <c:layout>
                <c:manualLayout>
                  <c:x val="-9.5703052112784542E-3"/>
                  <c:y val="-3.3541288504155359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8297-4FE6-AAB6-C3A728558F5A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accent2"/>
                    </a:solidFill>
                    <a:latin typeface="+mn-lt"/>
                    <a:ea typeface="+mn-ea"/>
                    <a:cs typeface="+mn-cs"/>
                  </a:defRPr>
                </a:pPr>
                <a:endParaRPr lang="fr-F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'Etape 5'!$D$2:$D$25</c:f>
              <c:strCache>
                <c:ptCount val="24"/>
                <c:pt idx="0">
                  <c:v>janvier</c:v>
                </c:pt>
                <c:pt idx="1">
                  <c:v>février</c:v>
                </c:pt>
                <c:pt idx="2">
                  <c:v>mars</c:v>
                </c:pt>
                <c:pt idx="3">
                  <c:v>avril</c:v>
                </c:pt>
                <c:pt idx="4">
                  <c:v>mai</c:v>
                </c:pt>
                <c:pt idx="5">
                  <c:v>juin</c:v>
                </c:pt>
                <c:pt idx="6">
                  <c:v>juillet</c:v>
                </c:pt>
                <c:pt idx="7">
                  <c:v>août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  <c:pt idx="12">
                  <c:v>janvier</c:v>
                </c:pt>
                <c:pt idx="13">
                  <c:v>février</c:v>
                </c:pt>
                <c:pt idx="14">
                  <c:v>mars</c:v>
                </c:pt>
                <c:pt idx="15">
                  <c:v>avril</c:v>
                </c:pt>
                <c:pt idx="16">
                  <c:v>mai</c:v>
                </c:pt>
                <c:pt idx="17">
                  <c:v>juin</c:v>
                </c:pt>
                <c:pt idx="18">
                  <c:v>juillet</c:v>
                </c:pt>
                <c:pt idx="19">
                  <c:v>août</c:v>
                </c:pt>
                <c:pt idx="20">
                  <c:v>septembre</c:v>
                </c:pt>
                <c:pt idx="21">
                  <c:v>octobre</c:v>
                </c:pt>
                <c:pt idx="22">
                  <c:v>novembre</c:v>
                </c:pt>
                <c:pt idx="23">
                  <c:v>décembre</c:v>
                </c:pt>
              </c:strCache>
            </c:strRef>
          </c:cat>
          <c:val>
            <c:numRef>
              <c:f>'Etape 5'!$E$2:$E$13</c:f>
              <c:numCache>
                <c:formatCode>_-* #\ ##0_-;\-* #\ ##0_-;_-* "-"??_-;_-@_-</c:formatCode>
                <c:ptCount val="12"/>
                <c:pt idx="0">
                  <c:v>7141</c:v>
                </c:pt>
                <c:pt idx="1">
                  <c:v>10092</c:v>
                </c:pt>
                <c:pt idx="2">
                  <c:v>9614</c:v>
                </c:pt>
                <c:pt idx="3">
                  <c:v>8486</c:v>
                </c:pt>
                <c:pt idx="4">
                  <c:v>7189</c:v>
                </c:pt>
                <c:pt idx="5">
                  <c:v>5842</c:v>
                </c:pt>
                <c:pt idx="6">
                  <c:v>5050</c:v>
                </c:pt>
                <c:pt idx="7">
                  <c:v>4021</c:v>
                </c:pt>
                <c:pt idx="8">
                  <c:v>11078</c:v>
                </c:pt>
                <c:pt idx="9">
                  <c:v>9763</c:v>
                </c:pt>
                <c:pt idx="10">
                  <c:v>7972</c:v>
                </c:pt>
                <c:pt idx="11">
                  <c:v>5172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C-8297-4FE6-AAB6-C3A728558F5A}"/>
            </c:ext>
          </c:extLst>
        </c:ser>
        <c:ser>
          <c:idx val="1"/>
          <c:order val="1"/>
          <c:tx>
            <c:v>2025</c:v>
          </c:tx>
          <c:spPr>
            <a:ln w="2222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dPt>
            <c:idx val="0"/>
            <c:marker>
              <c:symbol val="circle"/>
              <c:size val="8"/>
              <c:spPr>
                <a:noFill/>
                <a:ln w="19050">
                  <a:solidFill>
                    <a:schemeClr val="accent3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D-8297-4FE6-AAB6-C3A728558F5A}"/>
              </c:ext>
            </c:extLst>
          </c:dPt>
          <c:dPt>
            <c:idx val="2"/>
            <c:marker>
              <c:symbol val="circle"/>
              <c:size val="8"/>
              <c:spPr>
                <a:noFill/>
                <a:ln w="19050">
                  <a:solidFill>
                    <a:schemeClr val="accent3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E-8297-4FE6-AAB6-C3A728558F5A}"/>
              </c:ext>
            </c:extLst>
          </c:dPt>
          <c:dPt>
            <c:idx val="7"/>
            <c:marker>
              <c:symbol val="circle"/>
              <c:size val="8"/>
              <c:spPr>
                <a:noFill/>
                <a:ln w="19050">
                  <a:solidFill>
                    <a:schemeClr val="accent3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F-8297-4FE6-AAB6-C3A728558F5A}"/>
              </c:ext>
            </c:extLst>
          </c:dPt>
          <c:dPt>
            <c:idx val="8"/>
            <c:marker>
              <c:symbol val="circle"/>
              <c:size val="8"/>
              <c:spPr>
                <a:noFill/>
                <a:ln w="19050">
                  <a:solidFill>
                    <a:schemeClr val="accent3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10-8297-4FE6-AAB6-C3A728558F5A}"/>
              </c:ext>
            </c:extLst>
          </c:dPt>
          <c:dPt>
            <c:idx val="11"/>
            <c:marker>
              <c:symbol val="circle"/>
              <c:size val="8"/>
              <c:spPr>
                <a:noFill/>
                <a:ln w="19050">
                  <a:solidFill>
                    <a:schemeClr val="accent3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11-8297-4FE6-AAB6-C3A728558F5A}"/>
              </c:ext>
            </c:extLst>
          </c:dPt>
          <c:dLbls>
            <c:dLbl>
              <c:idx val="0"/>
              <c:layout>
                <c:manualLayout>
                  <c:x val="-5.5276862139390218E-2"/>
                  <c:y val="1.080482293925536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D-8297-4FE6-AAB6-C3A728558F5A}"/>
                </c:ext>
              </c:extLst>
            </c:dLbl>
            <c:dLbl>
              <c:idx val="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2-8297-4FE6-AAB6-C3A728558F5A}"/>
                </c:ext>
              </c:extLst>
            </c:dLbl>
            <c:dLbl>
              <c:idx val="2"/>
              <c:layout>
                <c:manualLayout>
                  <c:x val="-2.7149750183629095E-2"/>
                  <c:y val="-2.035730942638456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E-8297-4FE6-AAB6-C3A728558F5A}"/>
                </c:ext>
              </c:extLst>
            </c:dLbl>
            <c:dLbl>
              <c:idx val="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3-8297-4FE6-AAB6-C3A728558F5A}"/>
                </c:ext>
              </c:extLst>
            </c:dLbl>
            <c:dLbl>
              <c:idx val="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4-8297-4FE6-AAB6-C3A728558F5A}"/>
                </c:ext>
              </c:extLst>
            </c:dLbl>
            <c:dLbl>
              <c:idx val="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8297-4FE6-AAB6-C3A728558F5A}"/>
                </c:ext>
              </c:extLst>
            </c:dLbl>
            <c:dLbl>
              <c:idx val="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6-8297-4FE6-AAB6-C3A728558F5A}"/>
                </c:ext>
              </c:extLst>
            </c:dLbl>
            <c:dLbl>
              <c:idx val="7"/>
              <c:layout>
                <c:manualLayout>
                  <c:x val="-2.574339458584101E-2"/>
                  <c:y val="2.279025846450141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F-8297-4FE6-AAB6-C3A728558F5A}"/>
                </c:ext>
              </c:extLst>
            </c:dLbl>
            <c:dLbl>
              <c:idx val="8"/>
              <c:layout>
                <c:manualLayout>
                  <c:x val="-6.6921486489075324E-2"/>
                  <c:y val="1.2164745190584468E-3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0-8297-4FE6-AAB6-C3A728558F5A}"/>
                </c:ext>
              </c:extLst>
            </c:dLbl>
            <c:dLbl>
              <c:idx val="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7-8297-4FE6-AAB6-C3A728558F5A}"/>
                </c:ext>
              </c:extLst>
            </c:dLbl>
            <c:dLbl>
              <c:idx val="1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8-8297-4FE6-AAB6-C3A728558F5A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accent3"/>
                    </a:solidFill>
                    <a:latin typeface="+mn-lt"/>
                    <a:ea typeface="+mn-ea"/>
                    <a:cs typeface="+mn-cs"/>
                  </a:defRPr>
                </a:pPr>
                <a:endParaRPr lang="fr-F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'Etape 5'!$D$2:$D$25</c:f>
              <c:strCache>
                <c:ptCount val="24"/>
                <c:pt idx="0">
                  <c:v>janvier</c:v>
                </c:pt>
                <c:pt idx="1">
                  <c:v>février</c:v>
                </c:pt>
                <c:pt idx="2">
                  <c:v>mars</c:v>
                </c:pt>
                <c:pt idx="3">
                  <c:v>avril</c:v>
                </c:pt>
                <c:pt idx="4">
                  <c:v>mai</c:v>
                </c:pt>
                <c:pt idx="5">
                  <c:v>juin</c:v>
                </c:pt>
                <c:pt idx="6">
                  <c:v>juillet</c:v>
                </c:pt>
                <c:pt idx="7">
                  <c:v>août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  <c:pt idx="12">
                  <c:v>janvier</c:v>
                </c:pt>
                <c:pt idx="13">
                  <c:v>février</c:v>
                </c:pt>
                <c:pt idx="14">
                  <c:v>mars</c:v>
                </c:pt>
                <c:pt idx="15">
                  <c:v>avril</c:v>
                </c:pt>
                <c:pt idx="16">
                  <c:v>mai</c:v>
                </c:pt>
                <c:pt idx="17">
                  <c:v>juin</c:v>
                </c:pt>
                <c:pt idx="18">
                  <c:v>juillet</c:v>
                </c:pt>
                <c:pt idx="19">
                  <c:v>août</c:v>
                </c:pt>
                <c:pt idx="20">
                  <c:v>septembre</c:v>
                </c:pt>
                <c:pt idx="21">
                  <c:v>octobre</c:v>
                </c:pt>
                <c:pt idx="22">
                  <c:v>novembre</c:v>
                </c:pt>
                <c:pt idx="23">
                  <c:v>décembre</c:v>
                </c:pt>
              </c:strCache>
            </c:strRef>
          </c:cat>
          <c:val>
            <c:numRef>
              <c:f>'Etape 5'!$E$14:$E$25</c:f>
              <c:numCache>
                <c:formatCode>_-* #\ ##0_-;\-* #\ ##0_-;_-* "-"??_-;_-@_-</c:formatCode>
                <c:ptCount val="12"/>
                <c:pt idx="0">
                  <c:v>4946</c:v>
                </c:pt>
                <c:pt idx="1">
                  <c:v>8369</c:v>
                </c:pt>
                <c:pt idx="2">
                  <c:v>8414</c:v>
                </c:pt>
                <c:pt idx="3">
                  <c:v>6173</c:v>
                </c:pt>
                <c:pt idx="4">
                  <c:v>5662</c:v>
                </c:pt>
                <c:pt idx="5">
                  <c:v>3943</c:v>
                </c:pt>
                <c:pt idx="6">
                  <c:v>4367</c:v>
                </c:pt>
                <c:pt idx="7">
                  <c:v>3866</c:v>
                </c:pt>
                <c:pt idx="8">
                  <c:v>10765</c:v>
                </c:pt>
                <c:pt idx="9">
                  <c:v>8073</c:v>
                </c:pt>
                <c:pt idx="10">
                  <c:v>5748</c:v>
                </c:pt>
                <c:pt idx="11">
                  <c:v>3919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9-8297-4FE6-AAB6-C3A728558F5A}"/>
            </c:ext>
          </c:extLst>
        </c:ser>
        <c:ser>
          <c:idx val="2"/>
          <c:order val="2"/>
          <c:tx>
            <c:v>2026</c:v>
          </c:tx>
          <c:spPr>
            <a:ln w="2222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dPt>
            <c:idx val="0"/>
            <c:marker>
              <c:symbol val="circle"/>
              <c:size val="8"/>
              <c:spPr>
                <a:noFill/>
                <a:ln w="12700">
                  <a:solidFill>
                    <a:schemeClr val="accent4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1A-8297-4FE6-AAB6-C3A728558F5A}"/>
              </c:ext>
            </c:extLst>
          </c:dPt>
          <c:dPt>
            <c:idx val="2"/>
            <c:marker>
              <c:symbol val="circle"/>
              <c:size val="8"/>
              <c:spPr>
                <a:noFill/>
                <a:ln w="12700">
                  <a:solidFill>
                    <a:schemeClr val="accent4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1B-8297-4FE6-AAB6-C3A728558F5A}"/>
              </c:ext>
            </c:extLst>
          </c:dPt>
          <c:dPt>
            <c:idx val="6"/>
            <c:marker>
              <c:symbol val="circle"/>
              <c:size val="8"/>
              <c:spPr>
                <a:noFill/>
                <a:ln w="12700">
                  <a:solidFill>
                    <a:schemeClr val="accent4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1C-8297-4FE6-AAB6-C3A728558F5A}"/>
              </c:ext>
            </c:extLst>
          </c:dPt>
          <c:dLbls>
            <c:dLbl>
              <c:idx val="0"/>
              <c:layout>
                <c:manualLayout>
                  <c:x val="-5.7414526722317796E-2"/>
                  <c:y val="-8.9226441371656684E-17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A-8297-4FE6-AAB6-C3A728558F5A}"/>
                </c:ext>
              </c:extLst>
            </c:dLbl>
            <c:dLbl>
              <c:idx val="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D-8297-4FE6-AAB6-C3A728558F5A}"/>
                </c:ext>
              </c:extLst>
            </c:dLbl>
            <c:dLbl>
              <c:idx val="2"/>
              <c:layout>
                <c:manualLayout>
                  <c:x val="-4.1876729499017377E-2"/>
                  <c:y val="-2.4110921336472323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B-8297-4FE6-AAB6-C3A728558F5A}"/>
                </c:ext>
              </c:extLst>
            </c:dLbl>
            <c:dLbl>
              <c:idx val="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E-8297-4FE6-AAB6-C3A728558F5A}"/>
                </c:ext>
              </c:extLst>
            </c:dLbl>
            <c:dLbl>
              <c:idx val="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F-8297-4FE6-AAB6-C3A728558F5A}"/>
                </c:ext>
              </c:extLst>
            </c:dLbl>
            <c:dLbl>
              <c:idx val="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0-8297-4FE6-AAB6-C3A728558F5A}"/>
                </c:ext>
              </c:extLst>
            </c:dLbl>
            <c:dLbl>
              <c:idx val="6"/>
              <c:layout>
                <c:manualLayout>
                  <c:x val="-5.0769437080148867E-3"/>
                  <c:y val="-4.7941742100985436E-3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C-8297-4FE6-AAB6-C3A728558F5A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accent4"/>
                    </a:solidFill>
                    <a:latin typeface="+mn-lt"/>
                    <a:ea typeface="+mn-ea"/>
                    <a:cs typeface="+mn-cs"/>
                  </a:defRPr>
                </a:pPr>
                <a:endParaRPr lang="fr-FR"/>
              </a:p>
            </c:txPr>
            <c:dLblPos val="l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'Etape 5'!$D$2:$D$25</c:f>
              <c:strCache>
                <c:ptCount val="24"/>
                <c:pt idx="0">
                  <c:v>janvier</c:v>
                </c:pt>
                <c:pt idx="1">
                  <c:v>février</c:v>
                </c:pt>
                <c:pt idx="2">
                  <c:v>mars</c:v>
                </c:pt>
                <c:pt idx="3">
                  <c:v>avril</c:v>
                </c:pt>
                <c:pt idx="4">
                  <c:v>mai</c:v>
                </c:pt>
                <c:pt idx="5">
                  <c:v>juin</c:v>
                </c:pt>
                <c:pt idx="6">
                  <c:v>juillet</c:v>
                </c:pt>
                <c:pt idx="7">
                  <c:v>août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  <c:pt idx="12">
                  <c:v>janvier</c:v>
                </c:pt>
                <c:pt idx="13">
                  <c:v>février</c:v>
                </c:pt>
                <c:pt idx="14">
                  <c:v>mars</c:v>
                </c:pt>
                <c:pt idx="15">
                  <c:v>avril</c:v>
                </c:pt>
                <c:pt idx="16">
                  <c:v>mai</c:v>
                </c:pt>
                <c:pt idx="17">
                  <c:v>juin</c:v>
                </c:pt>
                <c:pt idx="18">
                  <c:v>juillet</c:v>
                </c:pt>
                <c:pt idx="19">
                  <c:v>août</c:v>
                </c:pt>
                <c:pt idx="20">
                  <c:v>septembre</c:v>
                </c:pt>
                <c:pt idx="21">
                  <c:v>octobre</c:v>
                </c:pt>
                <c:pt idx="22">
                  <c:v>novembre</c:v>
                </c:pt>
                <c:pt idx="23">
                  <c:v>décembre</c:v>
                </c:pt>
              </c:strCache>
            </c:strRef>
          </c:cat>
          <c:val>
            <c:numRef>
              <c:f>'Etape 5'!$E$26:$E$37</c:f>
              <c:numCache>
                <c:formatCode>_-* #\ ##0_-;\-* #\ ##0_-;_-* "-"??_-;_-@_-</c:formatCode>
                <c:ptCount val="12"/>
                <c:pt idx="0">
                  <c:v>5252</c:v>
                </c:pt>
                <c:pt idx="1">
                  <c:v>7084</c:v>
                </c:pt>
                <c:pt idx="2">
                  <c:v>7262</c:v>
                </c:pt>
                <c:pt idx="3">
                  <c:v>5243</c:v>
                </c:pt>
                <c:pt idx="4">
                  <c:v>4215</c:v>
                </c:pt>
                <c:pt idx="5">
                  <c:v>3141</c:v>
                </c:pt>
                <c:pt idx="6">
                  <c:v>1639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1-8297-4FE6-AAB6-C3A728558F5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757692575"/>
        <c:axId val="2095217935"/>
      </c:lineChart>
      <c:catAx>
        <c:axId val="1757692575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1587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2095217935"/>
        <c:crosses val="autoZero"/>
        <c:auto val="1"/>
        <c:lblAlgn val="ctr"/>
        <c:lblOffset val="100"/>
        <c:noMultiLvlLbl val="1"/>
      </c:catAx>
      <c:valAx>
        <c:axId val="2095217935"/>
        <c:scaling>
          <c:orientation val="minMax"/>
        </c:scaling>
        <c:delete val="0"/>
        <c:axPos val="l"/>
        <c:numFmt formatCode="_-* #\ ##0_-;\-* #\ ##0_-;_-* &quot;-&quot;??_-;_-@_-" sourceLinked="1"/>
        <c:majorTickMark val="out"/>
        <c:minorTickMark val="none"/>
        <c:tickLblPos val="nextTo"/>
        <c:spPr>
          <a:noFill/>
          <a:ln w="15875">
            <a:solidFill>
              <a:schemeClr val="tx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757692575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4.xml"/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19</xdr:col>
      <xdr:colOff>476250</xdr:colOff>
      <xdr:row>0</xdr:row>
      <xdr:rowOff>105604</xdr:rowOff>
    </xdr:from>
    <xdr:to>
      <xdr:col>35</xdr:col>
      <xdr:colOff>106846</xdr:colOff>
      <xdr:row>21</xdr:row>
      <xdr:rowOff>142875</xdr:rowOff>
    </xdr:to>
    <xdr:graphicFrame macro="">
      <xdr:nvGraphicFramePr>
        <xdr:cNvPr id="4" name="Graphique 3">
          <a:extLst>
            <a:ext uri="{FF2B5EF4-FFF2-40B4-BE49-F238E27FC236}">
              <a16:creationId xmlns:a16="http://schemas.microsoft.com/office/drawing/2014/main" id="{5DFC54E2-5DD1-8932-BF27-00A61C69A62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absolute">
    <xdr:from>
      <xdr:col>5</xdr:col>
      <xdr:colOff>533400</xdr:colOff>
      <xdr:row>0</xdr:row>
      <xdr:rowOff>105604</xdr:rowOff>
    </xdr:from>
    <xdr:to>
      <xdr:col>19</xdr:col>
      <xdr:colOff>430281</xdr:colOff>
      <xdr:row>21</xdr:row>
      <xdr:rowOff>142875</xdr:rowOff>
    </xdr:to>
    <xdr:graphicFrame macro="">
      <xdr:nvGraphicFramePr>
        <xdr:cNvPr id="5" name="Graphique 4">
          <a:extLst>
            <a:ext uri="{FF2B5EF4-FFF2-40B4-BE49-F238E27FC236}">
              <a16:creationId xmlns:a16="http://schemas.microsoft.com/office/drawing/2014/main" id="{E62C259B-28C5-4AE0-9A52-0EC4B5182D4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20</xdr:col>
      <xdr:colOff>0</xdr:colOff>
      <xdr:row>5</xdr:row>
      <xdr:rowOff>210379</xdr:rowOff>
    </xdr:from>
    <xdr:to>
      <xdr:col>35</xdr:col>
      <xdr:colOff>316396</xdr:colOff>
      <xdr:row>27</xdr:row>
      <xdr:rowOff>0</xdr:rowOff>
    </xdr:to>
    <xdr:graphicFrame macro="">
      <xdr:nvGraphicFramePr>
        <xdr:cNvPr id="2" name="Graphique 1">
          <a:extLst>
            <a:ext uri="{FF2B5EF4-FFF2-40B4-BE49-F238E27FC236}">
              <a16:creationId xmlns:a16="http://schemas.microsoft.com/office/drawing/2014/main" id="{0B710F0F-C8F3-450C-8263-34258EED829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0</xdr:colOff>
      <xdr:row>5</xdr:row>
      <xdr:rowOff>210379</xdr:rowOff>
    </xdr:from>
    <xdr:to>
      <xdr:col>19</xdr:col>
      <xdr:colOff>639831</xdr:colOff>
      <xdr:row>27</xdr:row>
      <xdr:rowOff>0</xdr:rowOff>
    </xdr:to>
    <xdr:graphicFrame macro="">
      <xdr:nvGraphicFramePr>
        <xdr:cNvPr id="3" name="Graphique 2">
          <a:extLst>
            <a:ext uri="{FF2B5EF4-FFF2-40B4-BE49-F238E27FC236}">
              <a16:creationId xmlns:a16="http://schemas.microsoft.com/office/drawing/2014/main" id="{F7F28903-8D1B-4F32-8996-BC08DAD20AC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9D5EE5A-9165-4858-B3D6-137ED0C5D577}" name="Tableau1" displayName="Tableau1" ref="A1:E37" totalsRowShown="0" headerRowDxfId="4" dataDxfId="3" headerRowBorderDxfId="8" tableBorderDxfId="9" totalsRowBorderDxfId="7">
  <autoFilter ref="A1:E37" xr:uid="{69D5EE5A-9165-4858-B3D6-137ED0C5D577}"/>
  <tableColumns count="5">
    <tableColumn id="1" xr3:uid="{A68DFD73-CEE4-4735-BF90-EE471CC87FFB}" name="N° Indicateur" dataDxfId="6"/>
    <tableColumn id="2" xr3:uid="{EC25017C-1328-4CA1-9936-C9AED30B16D1}" name="Date" dataDxfId="2"/>
    <tableColumn id="3" xr3:uid="{B133025C-5AA8-47EA-ACAB-729901D6C248}" name="Année" dataDxfId="0"/>
    <tableColumn id="4" xr3:uid="{C5EA3452-DDC7-40B2-AB95-0781FDA21CB5}" name="Mois" dataDxfId="1"/>
    <tableColumn id="5" xr3:uid="{D2139CF8-55B8-42E1-9FE2-E9DA78FD52CD}" name="Valeur" dataDxfId="5" dataCellStyle="Millier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GGU-EPFL">
  <a:themeElements>
    <a:clrScheme name="GGU-SISB-Viridis-Rocket">
      <a:dk1>
        <a:sysClr val="windowText" lastClr="000000"/>
      </a:dk1>
      <a:lt1>
        <a:sysClr val="window" lastClr="FFFFFF"/>
      </a:lt1>
      <a:dk2>
        <a:srgbClr val="1F1128"/>
      </a:dk2>
      <a:lt2>
        <a:srgbClr val="E8E8E8"/>
      </a:lt2>
      <a:accent1>
        <a:srgbClr val="40163D"/>
      </a:accent1>
      <a:accent2>
        <a:srgbClr val="6B1748"/>
      </a:accent2>
      <a:accent3>
        <a:srgbClr val="9D1A47"/>
      </a:accent3>
      <a:accent4>
        <a:srgbClr val="CA2B3B"/>
      </a:accent4>
      <a:accent5>
        <a:srgbClr val="E8845C"/>
      </a:accent5>
      <a:accent6>
        <a:srgbClr val="EDB490"/>
      </a:accent6>
      <a:hlink>
        <a:srgbClr val="E0533B"/>
      </a:hlink>
      <a:folHlink>
        <a:srgbClr val="911F61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499AE7-1086-4EC5-97AD-92E1DE7F4237}">
  <dimension ref="A1:O2"/>
  <sheetViews>
    <sheetView workbookViewId="0">
      <selection activeCell="C48" sqref="C48"/>
    </sheetView>
  </sheetViews>
  <sheetFormatPr baseColWidth="10" defaultRowHeight="12" x14ac:dyDescent="0.2"/>
  <cols>
    <col min="2" max="2" width="21" customWidth="1"/>
    <col min="3" max="3" width="40.5" customWidth="1"/>
  </cols>
  <sheetData>
    <row r="1" spans="1:15" ht="27" x14ac:dyDescent="0.2">
      <c r="A1" s="5" t="s">
        <v>0</v>
      </c>
      <c r="B1" s="5" t="s">
        <v>1</v>
      </c>
      <c r="C1" s="6" t="s">
        <v>2</v>
      </c>
      <c r="D1" s="7" t="s">
        <v>3</v>
      </c>
      <c r="E1" s="7" t="s">
        <v>4</v>
      </c>
      <c r="F1" s="7" t="s">
        <v>5</v>
      </c>
      <c r="G1" s="7" t="s">
        <v>6</v>
      </c>
      <c r="H1" s="7" t="s">
        <v>7</v>
      </c>
      <c r="I1" s="7" t="s">
        <v>8</v>
      </c>
      <c r="J1" s="7" t="s">
        <v>9</v>
      </c>
      <c r="K1" s="7" t="s">
        <v>10</v>
      </c>
      <c r="L1" s="7" t="s">
        <v>11</v>
      </c>
      <c r="M1" s="7" t="s">
        <v>12</v>
      </c>
      <c r="N1" s="7" t="s">
        <v>13</v>
      </c>
      <c r="O1" s="7" t="s">
        <v>14</v>
      </c>
    </row>
    <row r="2" spans="1:15" ht="67.5" x14ac:dyDescent="0.2">
      <c r="A2" s="9" t="s">
        <v>39</v>
      </c>
      <c r="B2" s="2" t="s">
        <v>40</v>
      </c>
      <c r="C2" s="3" t="s">
        <v>41</v>
      </c>
      <c r="D2" s="10">
        <v>5252</v>
      </c>
      <c r="E2" s="10">
        <v>7084</v>
      </c>
      <c r="F2" s="10">
        <v>7262</v>
      </c>
      <c r="G2" s="10">
        <v>5243</v>
      </c>
      <c r="H2" s="10">
        <v>4215</v>
      </c>
      <c r="I2" s="10">
        <v>3141</v>
      </c>
      <c r="J2" s="10">
        <v>1639</v>
      </c>
      <c r="K2" s="10"/>
      <c r="L2" s="10"/>
      <c r="M2" s="10"/>
      <c r="N2" s="10"/>
      <c r="O2" s="10"/>
    </row>
  </sheetData>
  <dataValidations count="1">
    <dataValidation errorStyle="information" operator="greaterThan" showErrorMessage="1" errorTitle="Message SISB" error="Veuillez entrer un nombre positif entier" promptTitle="Message SISB" prompt="veuillez entrer un nombre entier" sqref="D2:O2" xr:uid="{CF725E71-5B37-474E-AC41-547D30916121}"/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90B4EA-2107-4D20-9D8D-481D26BD316F}">
  <dimension ref="A1:O2"/>
  <sheetViews>
    <sheetView workbookViewId="0">
      <selection activeCell="D1" sqref="D1:O2"/>
    </sheetView>
  </sheetViews>
  <sheetFormatPr baseColWidth="10" defaultRowHeight="12" x14ac:dyDescent="0.2"/>
  <cols>
    <col min="2" max="2" width="23.83203125" customWidth="1"/>
    <col min="3" max="3" width="40.5" customWidth="1"/>
  </cols>
  <sheetData>
    <row r="1" spans="1:15" ht="27" x14ac:dyDescent="0.2">
      <c r="A1" s="5" t="s">
        <v>0</v>
      </c>
      <c r="B1" s="5" t="s">
        <v>1</v>
      </c>
      <c r="C1" s="6" t="s">
        <v>2</v>
      </c>
      <c r="D1" s="8" t="s">
        <v>15</v>
      </c>
      <c r="E1" s="8" t="s">
        <v>16</v>
      </c>
      <c r="F1" s="8" t="s">
        <v>17</v>
      </c>
      <c r="G1" s="8" t="s">
        <v>18</v>
      </c>
      <c r="H1" s="8" t="s">
        <v>19</v>
      </c>
      <c r="I1" s="8" t="s">
        <v>20</v>
      </c>
      <c r="J1" s="8" t="s">
        <v>21</v>
      </c>
      <c r="K1" s="8" t="s">
        <v>22</v>
      </c>
      <c r="L1" s="8" t="s">
        <v>23</v>
      </c>
      <c r="M1" s="8" t="s">
        <v>24</v>
      </c>
      <c r="N1" s="8" t="s">
        <v>25</v>
      </c>
      <c r="O1" s="8" t="s">
        <v>26</v>
      </c>
    </row>
    <row r="2" spans="1:15" ht="54" x14ac:dyDescent="0.2">
      <c r="A2" s="1" t="s">
        <v>39</v>
      </c>
      <c r="B2" s="2" t="s">
        <v>40</v>
      </c>
      <c r="C2" s="3" t="s">
        <v>42</v>
      </c>
      <c r="D2" s="4">
        <v>4946</v>
      </c>
      <c r="E2" s="4">
        <v>8369</v>
      </c>
      <c r="F2" s="4">
        <v>8414</v>
      </c>
      <c r="G2" s="4">
        <v>6173</v>
      </c>
      <c r="H2" s="4">
        <v>5662</v>
      </c>
      <c r="I2" s="4">
        <v>3943</v>
      </c>
      <c r="J2" s="4">
        <v>4367</v>
      </c>
      <c r="K2" s="4">
        <v>3866</v>
      </c>
      <c r="L2" s="4">
        <v>10765</v>
      </c>
      <c r="M2" s="4">
        <v>8073</v>
      </c>
      <c r="N2" s="4">
        <v>5748</v>
      </c>
      <c r="O2" s="4">
        <v>3919</v>
      </c>
    </row>
  </sheetData>
  <dataValidations count="1">
    <dataValidation errorStyle="information" operator="greaterThan" showErrorMessage="1" errorTitle="Message SISB" error="Veuillez entrer un nombre positif entier" promptTitle="Message SISB" prompt="veuillez entrer un nombre entier" sqref="D2:O2" xr:uid="{1F8B4CAB-1D24-4EAF-B6C0-C3884013A711}"/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081882-7C47-4421-9126-219295E45FCE}">
  <dimension ref="A1:O2"/>
  <sheetViews>
    <sheetView workbookViewId="0">
      <selection activeCell="E42" sqref="E42"/>
    </sheetView>
  </sheetViews>
  <sheetFormatPr baseColWidth="10" defaultRowHeight="12" x14ac:dyDescent="0.2"/>
  <cols>
    <col min="2" max="2" width="24.1640625" customWidth="1"/>
    <col min="3" max="3" width="40.5" customWidth="1"/>
  </cols>
  <sheetData>
    <row r="1" spans="1:15" ht="27" x14ac:dyDescent="0.2">
      <c r="A1" s="5" t="s">
        <v>0</v>
      </c>
      <c r="B1" s="5" t="s">
        <v>1</v>
      </c>
      <c r="C1" s="6" t="s">
        <v>2</v>
      </c>
      <c r="D1" s="7" t="s">
        <v>27</v>
      </c>
      <c r="E1" s="7" t="s">
        <v>28</v>
      </c>
      <c r="F1" s="7" t="s">
        <v>29</v>
      </c>
      <c r="G1" s="7" t="s">
        <v>30</v>
      </c>
      <c r="H1" s="7" t="s">
        <v>31</v>
      </c>
      <c r="I1" s="7" t="s">
        <v>32</v>
      </c>
      <c r="J1" s="7" t="s">
        <v>33</v>
      </c>
      <c r="K1" s="7" t="s">
        <v>34</v>
      </c>
      <c r="L1" s="7" t="s">
        <v>35</v>
      </c>
      <c r="M1" s="7" t="s">
        <v>36</v>
      </c>
      <c r="N1" s="7" t="s">
        <v>37</v>
      </c>
      <c r="O1" s="7" t="s">
        <v>38</v>
      </c>
    </row>
    <row r="2" spans="1:15" ht="54" x14ac:dyDescent="0.2">
      <c r="A2" s="1" t="s">
        <v>39</v>
      </c>
      <c r="B2" s="2" t="s">
        <v>40</v>
      </c>
      <c r="C2" s="3" t="s">
        <v>42</v>
      </c>
      <c r="D2" s="4">
        <v>7141</v>
      </c>
      <c r="E2" s="4">
        <v>10092</v>
      </c>
      <c r="F2" s="4">
        <v>9614</v>
      </c>
      <c r="G2" s="4">
        <v>8486</v>
      </c>
      <c r="H2" s="4">
        <v>7189</v>
      </c>
      <c r="I2" s="4">
        <v>5842</v>
      </c>
      <c r="J2" s="4">
        <v>5050</v>
      </c>
      <c r="K2" s="4">
        <v>4021</v>
      </c>
      <c r="L2" s="4">
        <v>11078</v>
      </c>
      <c r="M2" s="4">
        <v>9763</v>
      </c>
      <c r="N2" s="4">
        <v>7972</v>
      </c>
      <c r="O2" s="4">
        <v>5172</v>
      </c>
    </row>
  </sheetData>
  <dataValidations count="1">
    <dataValidation errorStyle="information" operator="greaterThan" showErrorMessage="1" errorTitle="Message SISB" error="Veuillez entrer un nombre positif entier" promptTitle="Message SISB" prompt="veuillez entrer un nombre entier" sqref="D2:O2" xr:uid="{B9CC19CD-DC64-4957-BC23-69BADB64F915}"/>
  </dataValidation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377384-5D7A-4642-A70E-B2A0D2A05ED8}">
  <sheetPr>
    <tabColor theme="6"/>
  </sheetPr>
  <dimension ref="A1"/>
  <sheetViews>
    <sheetView workbookViewId="0">
      <selection activeCell="H61" sqref="H61"/>
    </sheetView>
  </sheetViews>
  <sheetFormatPr baseColWidth="10" defaultRowHeight="12" x14ac:dyDescent="0.2"/>
  <sheetData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AE3207-4F6B-4700-AB65-44B995C5E927}">
  <sheetPr>
    <tabColor theme="6" tint="0.79998168889431442"/>
  </sheetPr>
  <dimension ref="A1:AM2"/>
  <sheetViews>
    <sheetView workbookViewId="0">
      <selection activeCell="E29" sqref="E29"/>
    </sheetView>
  </sheetViews>
  <sheetFormatPr baseColWidth="10" defaultRowHeight="12" outlineLevelCol="1" x14ac:dyDescent="0.2"/>
  <cols>
    <col min="2" max="2" width="43.6640625" customWidth="1"/>
    <col min="3" max="3" width="57" customWidth="1"/>
    <col min="4" max="15" width="12" customWidth="1" outlineLevel="1"/>
    <col min="16" max="16" width="12" customWidth="1" outlineLevel="1" collapsed="1"/>
    <col min="17" max="27" width="12" customWidth="1" outlineLevel="1"/>
  </cols>
  <sheetData>
    <row r="1" spans="1:39" ht="27" x14ac:dyDescent="0.2">
      <c r="A1" s="5" t="s">
        <v>0</v>
      </c>
      <c r="B1" s="5" t="s">
        <v>1</v>
      </c>
      <c r="C1" s="6" t="s">
        <v>2</v>
      </c>
      <c r="D1" s="7" t="s">
        <v>27</v>
      </c>
      <c r="E1" s="7" t="s">
        <v>28</v>
      </c>
      <c r="F1" s="7" t="s">
        <v>29</v>
      </c>
      <c r="G1" s="7" t="s">
        <v>30</v>
      </c>
      <c r="H1" s="7" t="s">
        <v>31</v>
      </c>
      <c r="I1" s="7" t="s">
        <v>32</v>
      </c>
      <c r="J1" s="7" t="s">
        <v>33</v>
      </c>
      <c r="K1" s="7" t="s">
        <v>34</v>
      </c>
      <c r="L1" s="7" t="s">
        <v>35</v>
      </c>
      <c r="M1" s="7" t="s">
        <v>36</v>
      </c>
      <c r="N1" s="7" t="s">
        <v>37</v>
      </c>
      <c r="O1" s="7" t="s">
        <v>38</v>
      </c>
      <c r="P1" s="8" t="s">
        <v>15</v>
      </c>
      <c r="Q1" s="8" t="s">
        <v>16</v>
      </c>
      <c r="R1" s="8" t="s">
        <v>17</v>
      </c>
      <c r="S1" s="8" t="s">
        <v>18</v>
      </c>
      <c r="T1" s="8" t="s">
        <v>19</v>
      </c>
      <c r="U1" s="8" t="s">
        <v>20</v>
      </c>
      <c r="V1" s="8" t="s">
        <v>21</v>
      </c>
      <c r="W1" s="8" t="s">
        <v>22</v>
      </c>
      <c r="X1" s="8" t="s">
        <v>23</v>
      </c>
      <c r="Y1" s="8" t="s">
        <v>24</v>
      </c>
      <c r="Z1" s="8" t="s">
        <v>25</v>
      </c>
      <c r="AA1" s="8" t="s">
        <v>26</v>
      </c>
      <c r="AB1" s="7" t="s">
        <v>3</v>
      </c>
      <c r="AC1" s="7" t="s">
        <v>4</v>
      </c>
      <c r="AD1" s="7" t="s">
        <v>5</v>
      </c>
      <c r="AE1" s="7" t="s">
        <v>6</v>
      </c>
      <c r="AF1" s="7" t="s">
        <v>7</v>
      </c>
      <c r="AG1" s="7" t="s">
        <v>8</v>
      </c>
      <c r="AH1" s="7" t="s">
        <v>9</v>
      </c>
      <c r="AI1" s="7" t="s">
        <v>10</v>
      </c>
      <c r="AJ1" s="7" t="s">
        <v>11</v>
      </c>
      <c r="AK1" s="7" t="s">
        <v>12</v>
      </c>
      <c r="AL1" s="7" t="s">
        <v>13</v>
      </c>
      <c r="AM1" s="7" t="s">
        <v>14</v>
      </c>
    </row>
    <row r="2" spans="1:39" ht="54" x14ac:dyDescent="0.2">
      <c r="A2" s="9" t="s">
        <v>39</v>
      </c>
      <c r="B2" s="2" t="s">
        <v>40</v>
      </c>
      <c r="C2" s="3" t="s">
        <v>41</v>
      </c>
      <c r="D2" s="4">
        <v>7141</v>
      </c>
      <c r="E2" s="4">
        <v>10092</v>
      </c>
      <c r="F2" s="4">
        <v>9614</v>
      </c>
      <c r="G2" s="4">
        <v>8486</v>
      </c>
      <c r="H2" s="4">
        <v>7189</v>
      </c>
      <c r="I2" s="4">
        <v>5842</v>
      </c>
      <c r="J2" s="4">
        <v>5050</v>
      </c>
      <c r="K2" s="4">
        <v>4021</v>
      </c>
      <c r="L2" s="4">
        <v>11078</v>
      </c>
      <c r="M2" s="4">
        <v>9763</v>
      </c>
      <c r="N2" s="4">
        <v>7972</v>
      </c>
      <c r="O2" s="4">
        <v>5172</v>
      </c>
      <c r="P2" s="4">
        <v>4946</v>
      </c>
      <c r="Q2" s="4">
        <v>8369</v>
      </c>
      <c r="R2" s="4">
        <v>8414</v>
      </c>
      <c r="S2" s="4">
        <v>6173</v>
      </c>
      <c r="T2" s="4">
        <v>5662</v>
      </c>
      <c r="U2" s="4">
        <v>3943</v>
      </c>
      <c r="V2" s="4">
        <v>4367</v>
      </c>
      <c r="W2" s="4">
        <v>3866</v>
      </c>
      <c r="X2" s="4">
        <v>10765</v>
      </c>
      <c r="Y2" s="4">
        <v>8073</v>
      </c>
      <c r="Z2" s="4">
        <v>5748</v>
      </c>
      <c r="AA2" s="4">
        <v>3919</v>
      </c>
      <c r="AB2" s="10">
        <v>5252</v>
      </c>
      <c r="AC2" s="10">
        <v>7084</v>
      </c>
      <c r="AD2" s="10">
        <v>7262</v>
      </c>
      <c r="AE2" s="10">
        <v>5243</v>
      </c>
      <c r="AF2" s="10">
        <v>4215</v>
      </c>
      <c r="AG2" s="10">
        <v>3141</v>
      </c>
      <c r="AH2" s="10">
        <v>1639</v>
      </c>
      <c r="AI2" s="10"/>
      <c r="AJ2" s="10"/>
      <c r="AK2" s="10"/>
      <c r="AL2" s="10"/>
      <c r="AM2" s="10"/>
    </row>
  </sheetData>
  <dataValidations count="1">
    <dataValidation errorStyle="information" operator="greaterThan" showErrorMessage="1" errorTitle="Message SISB" error="Veuillez entrer un nombre positif entier" promptTitle="Message SISB" prompt="veuillez entrer un nombre entier" sqref="AB2:AM2 D2:AA2" xr:uid="{0EA8BC23-243E-43B0-BDEC-E9A86F203410}"/>
  </dataValidation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42978F-5A3D-49F7-A05A-3F300746BBCB}">
  <sheetPr>
    <tabColor theme="6" tint="0.79998168889431442"/>
  </sheetPr>
  <dimension ref="A1:AM44"/>
  <sheetViews>
    <sheetView showGridLines="0" workbookViewId="0">
      <selection activeCell="V10" sqref="V10"/>
    </sheetView>
  </sheetViews>
  <sheetFormatPr baseColWidth="10" defaultRowHeight="12" x14ac:dyDescent="0.2"/>
  <cols>
    <col min="1" max="1" width="17.33203125" customWidth="1"/>
    <col min="2" max="2" width="43.6640625" customWidth="1"/>
    <col min="3" max="3" width="57" customWidth="1"/>
    <col min="12" max="12" width="8.83203125" bestFit="1" customWidth="1"/>
    <col min="14" max="14" width="31" customWidth="1"/>
    <col min="19" max="19" width="13.1640625" bestFit="1" customWidth="1"/>
  </cols>
  <sheetData>
    <row r="1" spans="1:39" ht="27.75" thickBot="1" x14ac:dyDescent="0.25">
      <c r="A1" s="29" t="s">
        <v>0</v>
      </c>
      <c r="B1" s="30" t="s">
        <v>1</v>
      </c>
      <c r="C1" s="31" t="s">
        <v>2</v>
      </c>
      <c r="D1" s="32" t="s">
        <v>27</v>
      </c>
      <c r="E1" s="32" t="s">
        <v>28</v>
      </c>
      <c r="F1" s="32" t="s">
        <v>29</v>
      </c>
      <c r="G1" s="32" t="s">
        <v>30</v>
      </c>
      <c r="H1" s="32" t="s">
        <v>31</v>
      </c>
      <c r="I1" s="32" t="s">
        <v>32</v>
      </c>
      <c r="J1" s="32" t="s">
        <v>33</v>
      </c>
      <c r="K1" s="32" t="s">
        <v>34</v>
      </c>
      <c r="L1" s="32" t="s">
        <v>35</v>
      </c>
      <c r="M1" s="32" t="s">
        <v>36</v>
      </c>
      <c r="N1" s="32" t="s">
        <v>37</v>
      </c>
      <c r="O1" s="32" t="s">
        <v>38</v>
      </c>
      <c r="P1" s="33" t="s">
        <v>15</v>
      </c>
      <c r="Q1" s="33" t="s">
        <v>16</v>
      </c>
      <c r="R1" s="33" t="s">
        <v>17</v>
      </c>
      <c r="S1" s="33" t="s">
        <v>18</v>
      </c>
      <c r="T1" s="33" t="s">
        <v>19</v>
      </c>
      <c r="U1" s="33" t="s">
        <v>20</v>
      </c>
      <c r="V1" s="33" t="s">
        <v>21</v>
      </c>
      <c r="W1" s="33" t="s">
        <v>22</v>
      </c>
      <c r="X1" s="33" t="s">
        <v>23</v>
      </c>
      <c r="Y1" s="33" t="s">
        <v>24</v>
      </c>
      <c r="Z1" s="33" t="s">
        <v>25</v>
      </c>
      <c r="AA1" s="33" t="s">
        <v>26</v>
      </c>
      <c r="AB1" s="32" t="s">
        <v>3</v>
      </c>
      <c r="AC1" s="32" t="s">
        <v>4</v>
      </c>
      <c r="AD1" s="32" t="s">
        <v>5</v>
      </c>
      <c r="AE1" s="32" t="s">
        <v>6</v>
      </c>
      <c r="AF1" s="32" t="s">
        <v>7</v>
      </c>
      <c r="AG1" s="32" t="s">
        <v>8</v>
      </c>
      <c r="AH1" s="32" t="s">
        <v>9</v>
      </c>
      <c r="AI1" s="32" t="s">
        <v>10</v>
      </c>
      <c r="AJ1" s="32" t="s">
        <v>11</v>
      </c>
      <c r="AK1" s="32" t="s">
        <v>12</v>
      </c>
      <c r="AL1" s="32" t="s">
        <v>13</v>
      </c>
      <c r="AM1" s="34" t="s">
        <v>14</v>
      </c>
    </row>
    <row r="2" spans="1:39" ht="54" x14ac:dyDescent="0.2">
      <c r="A2" s="23" t="s">
        <v>39</v>
      </c>
      <c r="B2" s="24" t="s">
        <v>40</v>
      </c>
      <c r="C2" s="25" t="s">
        <v>41</v>
      </c>
      <c r="D2" s="26">
        <v>7141</v>
      </c>
      <c r="E2" s="26">
        <v>10092</v>
      </c>
      <c r="F2" s="26">
        <v>9614</v>
      </c>
      <c r="G2" s="26">
        <v>8486</v>
      </c>
      <c r="H2" s="26">
        <v>7189</v>
      </c>
      <c r="I2" s="26">
        <v>5842</v>
      </c>
      <c r="J2" s="26">
        <v>5050</v>
      </c>
      <c r="K2" s="26">
        <v>4021</v>
      </c>
      <c r="L2" s="26">
        <v>11078</v>
      </c>
      <c r="M2" s="26">
        <v>9763</v>
      </c>
      <c r="N2" s="26">
        <v>7972</v>
      </c>
      <c r="O2" s="26">
        <v>5172</v>
      </c>
      <c r="P2" s="26">
        <v>4946</v>
      </c>
      <c r="Q2" s="26">
        <v>8369</v>
      </c>
      <c r="R2" s="26">
        <v>8414</v>
      </c>
      <c r="S2" s="26">
        <v>6173</v>
      </c>
      <c r="T2" s="26">
        <v>5662</v>
      </c>
      <c r="U2" s="26">
        <v>3943</v>
      </c>
      <c r="V2" s="26">
        <v>4367</v>
      </c>
      <c r="W2" s="26">
        <v>3866</v>
      </c>
      <c r="X2" s="26">
        <v>10765</v>
      </c>
      <c r="Y2" s="26">
        <v>8073</v>
      </c>
      <c r="Z2" s="26">
        <v>5748</v>
      </c>
      <c r="AA2" s="26">
        <v>3919</v>
      </c>
      <c r="AB2" s="27">
        <v>5252</v>
      </c>
      <c r="AC2" s="27">
        <v>7084</v>
      </c>
      <c r="AD2" s="27">
        <v>7262</v>
      </c>
      <c r="AE2" s="27">
        <v>5243</v>
      </c>
      <c r="AF2" s="27">
        <v>4215</v>
      </c>
      <c r="AG2" s="27">
        <v>3141</v>
      </c>
      <c r="AH2" s="27">
        <v>1639</v>
      </c>
      <c r="AI2" s="27"/>
      <c r="AJ2" s="27"/>
      <c r="AK2" s="27"/>
      <c r="AL2" s="27"/>
      <c r="AM2" s="28"/>
    </row>
    <row r="8" spans="1:39" ht="13.5" x14ac:dyDescent="0.2">
      <c r="A8" s="5" t="s">
        <v>0</v>
      </c>
      <c r="B8" s="5" t="s">
        <v>1</v>
      </c>
      <c r="C8" s="6" t="s">
        <v>2</v>
      </c>
      <c r="D8" s="6" t="s">
        <v>43</v>
      </c>
      <c r="E8" s="6" t="s">
        <v>44</v>
      </c>
      <c r="K8" s="6" t="s">
        <v>43</v>
      </c>
      <c r="M8" s="6" t="s">
        <v>50</v>
      </c>
      <c r="O8" s="6" t="s">
        <v>49</v>
      </c>
      <c r="S8" s="6" t="s">
        <v>43</v>
      </c>
    </row>
    <row r="9" spans="1:39" ht="54" x14ac:dyDescent="0.2">
      <c r="A9" s="11" t="s">
        <v>39</v>
      </c>
      <c r="B9" s="12" t="s">
        <v>40</v>
      </c>
      <c r="C9" s="13" t="s">
        <v>41</v>
      </c>
      <c r="D9" s="17" t="str" cm="1">
        <f t="array" ref="D9:E44">TRANSPOSE(D1:AM2)</f>
        <v>janv.24</v>
      </c>
      <c r="E9" s="16">
        <v>7141</v>
      </c>
      <c r="F9" s="14" t="str">
        <f ca="1">_xlfn.FORMULATEXT(D9)</f>
        <v>=TRANSPOSE(D1:AM2)</v>
      </c>
      <c r="J9" s="22"/>
      <c r="K9" s="37" t="s">
        <v>27</v>
      </c>
      <c r="M9" s="38" t="str">
        <f>_xlfn.TEXTBEFORE(K9,"2")</f>
        <v>janv.</v>
      </c>
      <c r="N9" s="39" t="str">
        <f ca="1">_xlfn.FORMULATEXT(M9)</f>
        <v>=TEXTE.AVANT(K9;"2")</v>
      </c>
      <c r="O9" s="38" t="str">
        <f>20 &amp; RIGHT(K9,2)</f>
        <v>2024</v>
      </c>
      <c r="P9" s="39" t="str">
        <f ca="1">_xlfn.FORMULATEXT(O9)</f>
        <v>=20 &amp; DROITE(K9;2)</v>
      </c>
      <c r="Q9" s="35"/>
      <c r="R9" s="35"/>
      <c r="S9" s="36">
        <f>DATE(YEAR(K9),MONTH(K9),1)</f>
        <v>45292</v>
      </c>
      <c r="T9" s="14" t="str">
        <f ca="1">_xlfn.FORMULATEXT(S9)</f>
        <v>=DATE(ANNEE(K9);MOIS(K9);1)</v>
      </c>
    </row>
    <row r="10" spans="1:39" ht="54" x14ac:dyDescent="0.2">
      <c r="A10" s="11" t="s">
        <v>39</v>
      </c>
      <c r="B10" s="12" t="s">
        <v>40</v>
      </c>
      <c r="C10" s="13" t="s">
        <v>41</v>
      </c>
      <c r="D10" s="16" t="str">
        <v>févr.24</v>
      </c>
      <c r="E10" s="16">
        <v>10092</v>
      </c>
      <c r="K10" s="37" t="s">
        <v>28</v>
      </c>
      <c r="M10" s="38" t="str">
        <f>_xlfn.TEXTBEFORE(K10,"2")</f>
        <v>févr.</v>
      </c>
      <c r="N10" s="35"/>
      <c r="O10" s="38" t="str">
        <f t="shared" ref="O10:O44" si="0">20 &amp; RIGHT(K10,2)</f>
        <v>2024</v>
      </c>
      <c r="P10" s="35"/>
      <c r="Q10" s="35"/>
      <c r="R10" s="35"/>
      <c r="S10" s="37">
        <f>DATE(YEAR(K10),MONTH(K10),1)</f>
        <v>45323</v>
      </c>
    </row>
    <row r="11" spans="1:39" ht="54" x14ac:dyDescent="0.2">
      <c r="A11" s="11" t="s">
        <v>39</v>
      </c>
      <c r="B11" s="12" t="s">
        <v>40</v>
      </c>
      <c r="C11" s="13" t="s">
        <v>41</v>
      </c>
      <c r="D11" s="16" t="str">
        <v>mars24</v>
      </c>
      <c r="E11" s="16">
        <v>9614</v>
      </c>
      <c r="K11" s="37" t="s">
        <v>29</v>
      </c>
      <c r="M11" s="38" t="str">
        <f>_xlfn.TEXTBEFORE(K11,"2")</f>
        <v>mars</v>
      </c>
      <c r="N11" s="35"/>
      <c r="O11" s="38" t="str">
        <f t="shared" si="0"/>
        <v>2024</v>
      </c>
      <c r="P11" s="35"/>
      <c r="Q11" s="35"/>
      <c r="R11" s="35"/>
      <c r="S11" s="37">
        <f>DATE(YEAR(K11),MONTH(K11),1)</f>
        <v>45352</v>
      </c>
    </row>
    <row r="12" spans="1:39" ht="54" x14ac:dyDescent="0.2">
      <c r="A12" s="11" t="s">
        <v>39</v>
      </c>
      <c r="B12" s="12" t="s">
        <v>40</v>
      </c>
      <c r="C12" s="13" t="s">
        <v>41</v>
      </c>
      <c r="D12" s="16" t="str">
        <v>avr.24</v>
      </c>
      <c r="E12" s="16">
        <v>8486</v>
      </c>
      <c r="K12" s="37" t="s">
        <v>30</v>
      </c>
      <c r="M12" s="38" t="str">
        <f>_xlfn.TEXTBEFORE(K12,"2")</f>
        <v>avr.</v>
      </c>
      <c r="N12" s="35"/>
      <c r="O12" s="38" t="str">
        <f t="shared" si="0"/>
        <v>2024</v>
      </c>
      <c r="P12" s="35"/>
      <c r="Q12" s="35"/>
      <c r="R12" s="35"/>
      <c r="S12" s="37">
        <f>DATE(YEAR(K12),MONTH(K12),1)</f>
        <v>45383</v>
      </c>
    </row>
    <row r="13" spans="1:39" ht="54" x14ac:dyDescent="0.2">
      <c r="A13" s="11" t="s">
        <v>39</v>
      </c>
      <c r="B13" s="12" t="s">
        <v>40</v>
      </c>
      <c r="C13" s="13" t="s">
        <v>41</v>
      </c>
      <c r="D13" s="16" t="str">
        <v>mai24</v>
      </c>
      <c r="E13" s="16">
        <v>7189</v>
      </c>
      <c r="K13" s="37" t="s">
        <v>31</v>
      </c>
      <c r="M13" s="38" t="str">
        <f>_xlfn.TEXTBEFORE(K13,"2")</f>
        <v>mai</v>
      </c>
      <c r="N13" s="35"/>
      <c r="O13" s="38" t="str">
        <f t="shared" si="0"/>
        <v>2024</v>
      </c>
      <c r="P13" s="35"/>
      <c r="Q13" s="35"/>
      <c r="R13" s="35"/>
      <c r="S13" s="37">
        <f>DATE(YEAR(K13),MONTH(K13),1)</f>
        <v>45413</v>
      </c>
    </row>
    <row r="14" spans="1:39" ht="54" x14ac:dyDescent="0.2">
      <c r="A14" s="11" t="s">
        <v>39</v>
      </c>
      <c r="B14" s="12" t="s">
        <v>40</v>
      </c>
      <c r="C14" s="13" t="s">
        <v>41</v>
      </c>
      <c r="D14" s="16" t="str">
        <v>juin24</v>
      </c>
      <c r="E14" s="16">
        <v>5842</v>
      </c>
      <c r="K14" s="37" t="s">
        <v>32</v>
      </c>
      <c r="M14" s="38" t="str">
        <f>_xlfn.TEXTBEFORE(K14,"2")</f>
        <v>juin</v>
      </c>
      <c r="N14" s="35"/>
      <c r="O14" s="38" t="str">
        <f t="shared" si="0"/>
        <v>2024</v>
      </c>
      <c r="P14" s="35"/>
      <c r="Q14" s="35"/>
      <c r="R14" s="35"/>
      <c r="S14" s="37">
        <f>DATE(YEAR(K14),MONTH(K14),1)</f>
        <v>45444</v>
      </c>
    </row>
    <row r="15" spans="1:39" ht="54" x14ac:dyDescent="0.2">
      <c r="A15" s="11" t="s">
        <v>39</v>
      </c>
      <c r="B15" s="12" t="s">
        <v>40</v>
      </c>
      <c r="C15" s="13" t="s">
        <v>41</v>
      </c>
      <c r="D15" s="16" t="str">
        <v>juil.24</v>
      </c>
      <c r="E15" s="16">
        <v>5050</v>
      </c>
      <c r="K15" s="37" t="s">
        <v>33</v>
      </c>
      <c r="M15" s="38" t="str">
        <f>_xlfn.TEXTBEFORE(K15,"2")</f>
        <v>juil.</v>
      </c>
      <c r="N15" s="35"/>
      <c r="O15" s="38" t="str">
        <f t="shared" si="0"/>
        <v>2024</v>
      </c>
      <c r="P15" s="35"/>
      <c r="Q15" s="35"/>
      <c r="R15" s="35"/>
      <c r="S15" s="37">
        <f>DATE(YEAR(K15),MONTH(K15),1)</f>
        <v>45474</v>
      </c>
    </row>
    <row r="16" spans="1:39" ht="54" x14ac:dyDescent="0.2">
      <c r="A16" s="11" t="s">
        <v>39</v>
      </c>
      <c r="B16" s="12" t="s">
        <v>40</v>
      </c>
      <c r="C16" s="13" t="s">
        <v>41</v>
      </c>
      <c r="D16" s="16" t="str">
        <v>août24</v>
      </c>
      <c r="E16" s="16">
        <v>4021</v>
      </c>
      <c r="K16" s="37" t="s">
        <v>34</v>
      </c>
      <c r="M16" s="38" t="str">
        <f>_xlfn.TEXTBEFORE(K16,"2")</f>
        <v>août</v>
      </c>
      <c r="N16" s="35"/>
      <c r="O16" s="38" t="str">
        <f t="shared" si="0"/>
        <v>2024</v>
      </c>
      <c r="P16" s="35"/>
      <c r="Q16" s="35"/>
      <c r="R16" s="35"/>
      <c r="S16" s="37">
        <f>DATE(YEAR(K16),MONTH(K16),1)</f>
        <v>45505</v>
      </c>
    </row>
    <row r="17" spans="1:19" ht="54" x14ac:dyDescent="0.2">
      <c r="A17" s="11" t="s">
        <v>39</v>
      </c>
      <c r="B17" s="12" t="s">
        <v>40</v>
      </c>
      <c r="C17" s="13" t="s">
        <v>41</v>
      </c>
      <c r="D17" s="16" t="str">
        <v>sept.24</v>
      </c>
      <c r="E17" s="16">
        <v>11078</v>
      </c>
      <c r="K17" s="37" t="s">
        <v>35</v>
      </c>
      <c r="M17" s="38" t="str">
        <f>_xlfn.TEXTBEFORE(K17,"2")</f>
        <v>sept.</v>
      </c>
      <c r="N17" s="35"/>
      <c r="O17" s="38" t="str">
        <f t="shared" si="0"/>
        <v>2024</v>
      </c>
      <c r="P17" s="35"/>
      <c r="Q17" s="35"/>
      <c r="R17" s="35"/>
      <c r="S17" s="37">
        <f>DATE(YEAR(K17),MONTH(K17),1)</f>
        <v>45536</v>
      </c>
    </row>
    <row r="18" spans="1:19" ht="54" x14ac:dyDescent="0.2">
      <c r="A18" s="11" t="s">
        <v>39</v>
      </c>
      <c r="B18" s="12" t="s">
        <v>40</v>
      </c>
      <c r="C18" s="13" t="s">
        <v>41</v>
      </c>
      <c r="D18" s="16" t="str">
        <v>oct.24</v>
      </c>
      <c r="E18" s="16">
        <v>9763</v>
      </c>
      <c r="K18" s="37" t="s">
        <v>36</v>
      </c>
      <c r="M18" s="38" t="str">
        <f>_xlfn.TEXTBEFORE(K18,"2")</f>
        <v>oct.</v>
      </c>
      <c r="N18" s="35"/>
      <c r="O18" s="38" t="str">
        <f t="shared" si="0"/>
        <v>2024</v>
      </c>
      <c r="P18" s="35"/>
      <c r="Q18" s="35"/>
      <c r="R18" s="35"/>
      <c r="S18" s="37">
        <f>DATE(YEAR(K18),MONTH(K18),1)</f>
        <v>45566</v>
      </c>
    </row>
    <row r="19" spans="1:19" ht="54" x14ac:dyDescent="0.2">
      <c r="A19" s="11" t="s">
        <v>39</v>
      </c>
      <c r="B19" s="12" t="s">
        <v>40</v>
      </c>
      <c r="C19" s="13" t="s">
        <v>41</v>
      </c>
      <c r="D19" s="16" t="str">
        <v>nov.24</v>
      </c>
      <c r="E19" s="16">
        <v>7972</v>
      </c>
      <c r="K19" s="37" t="s">
        <v>37</v>
      </c>
      <c r="M19" s="38" t="str">
        <f>_xlfn.TEXTBEFORE(K19,"2")</f>
        <v>nov.</v>
      </c>
      <c r="N19" s="35"/>
      <c r="O19" s="38" t="str">
        <f t="shared" si="0"/>
        <v>2024</v>
      </c>
      <c r="P19" s="35"/>
      <c r="Q19" s="35"/>
      <c r="R19" s="35"/>
      <c r="S19" s="37">
        <f>DATE(YEAR(K19),MONTH(K19),1)</f>
        <v>45597</v>
      </c>
    </row>
    <row r="20" spans="1:19" ht="54" x14ac:dyDescent="0.2">
      <c r="A20" s="11" t="s">
        <v>39</v>
      </c>
      <c r="B20" s="12" t="s">
        <v>40</v>
      </c>
      <c r="C20" s="13" t="s">
        <v>41</v>
      </c>
      <c r="D20" s="16" t="str">
        <v>déc.24</v>
      </c>
      <c r="E20" s="16">
        <v>5172</v>
      </c>
      <c r="K20" s="37" t="s">
        <v>38</v>
      </c>
      <c r="M20" s="38" t="str">
        <f>_xlfn.TEXTBEFORE(K20,"2")</f>
        <v>déc.</v>
      </c>
      <c r="N20" s="35"/>
      <c r="O20" s="38" t="str">
        <f t="shared" si="0"/>
        <v>2024</v>
      </c>
      <c r="P20" s="35"/>
      <c r="Q20" s="35"/>
      <c r="R20" s="35"/>
      <c r="S20" s="37">
        <f>DATE(YEAR(K20),MONTH(K20),1)</f>
        <v>45627</v>
      </c>
    </row>
    <row r="21" spans="1:19" ht="54" x14ac:dyDescent="0.2">
      <c r="A21" s="11" t="s">
        <v>39</v>
      </c>
      <c r="B21" s="12" t="s">
        <v>40</v>
      </c>
      <c r="C21" s="13" t="s">
        <v>41</v>
      </c>
      <c r="D21" s="16" t="str">
        <v>janv.25</v>
      </c>
      <c r="E21" s="16">
        <v>4946</v>
      </c>
      <c r="K21" s="37" t="s">
        <v>15</v>
      </c>
      <c r="M21" s="38" t="str">
        <f>_xlfn.TEXTBEFORE(K21,"2")</f>
        <v>janv.</v>
      </c>
      <c r="N21" s="35"/>
      <c r="O21" s="38" t="str">
        <f t="shared" si="0"/>
        <v>2025</v>
      </c>
      <c r="P21" s="35"/>
      <c r="Q21" s="35"/>
      <c r="R21" s="35"/>
      <c r="S21" s="37">
        <f>DATE(YEAR(K21),MONTH(K21),1)</f>
        <v>45658</v>
      </c>
    </row>
    <row r="22" spans="1:19" ht="54" x14ac:dyDescent="0.2">
      <c r="A22" s="11" t="s">
        <v>39</v>
      </c>
      <c r="B22" s="12" t="s">
        <v>40</v>
      </c>
      <c r="C22" s="13" t="s">
        <v>41</v>
      </c>
      <c r="D22" s="16" t="str">
        <v>févr.25</v>
      </c>
      <c r="E22" s="16">
        <v>8369</v>
      </c>
      <c r="K22" s="37" t="s">
        <v>16</v>
      </c>
      <c r="M22" s="38" t="str">
        <f>_xlfn.TEXTBEFORE(K22,"2")</f>
        <v>févr.</v>
      </c>
      <c r="N22" s="35"/>
      <c r="O22" s="38" t="str">
        <f t="shared" si="0"/>
        <v>2025</v>
      </c>
      <c r="P22" s="35"/>
      <c r="Q22" s="35"/>
      <c r="R22" s="35"/>
      <c r="S22" s="37">
        <f>DATE(YEAR(K22),MONTH(K22),1)</f>
        <v>45689</v>
      </c>
    </row>
    <row r="23" spans="1:19" ht="54" x14ac:dyDescent="0.2">
      <c r="A23" s="11" t="s">
        <v>39</v>
      </c>
      <c r="B23" s="12" t="s">
        <v>40</v>
      </c>
      <c r="C23" s="13" t="s">
        <v>41</v>
      </c>
      <c r="D23" s="16" t="str">
        <v>mars25</v>
      </c>
      <c r="E23" s="16">
        <v>8414</v>
      </c>
      <c r="K23" s="37" t="s">
        <v>17</v>
      </c>
      <c r="M23" s="38" t="str">
        <f>_xlfn.TEXTBEFORE(K23,"2")</f>
        <v>mars</v>
      </c>
      <c r="N23" s="35"/>
      <c r="O23" s="38" t="str">
        <f t="shared" si="0"/>
        <v>2025</v>
      </c>
      <c r="P23" s="35"/>
      <c r="Q23" s="35"/>
      <c r="R23" s="35"/>
      <c r="S23" s="37">
        <f>DATE(YEAR(K23),MONTH(K23),1)</f>
        <v>45717</v>
      </c>
    </row>
    <row r="24" spans="1:19" ht="54" x14ac:dyDescent="0.2">
      <c r="A24" s="11" t="s">
        <v>39</v>
      </c>
      <c r="B24" s="12" t="s">
        <v>40</v>
      </c>
      <c r="C24" s="13" t="s">
        <v>41</v>
      </c>
      <c r="D24" s="16" t="str">
        <v>avr.25</v>
      </c>
      <c r="E24" s="16">
        <v>6173</v>
      </c>
      <c r="K24" s="37" t="s">
        <v>18</v>
      </c>
      <c r="M24" s="38" t="str">
        <f>_xlfn.TEXTBEFORE(K24,"2")</f>
        <v>avr.</v>
      </c>
      <c r="N24" s="35"/>
      <c r="O24" s="38" t="str">
        <f t="shared" si="0"/>
        <v>2025</v>
      </c>
      <c r="P24" s="35"/>
      <c r="Q24" s="35"/>
      <c r="R24" s="35"/>
      <c r="S24" s="37">
        <f>DATE(YEAR(K24),MONTH(K24),1)</f>
        <v>45748</v>
      </c>
    </row>
    <row r="25" spans="1:19" ht="54" x14ac:dyDescent="0.2">
      <c r="A25" s="11" t="s">
        <v>39</v>
      </c>
      <c r="B25" s="12" t="s">
        <v>40</v>
      </c>
      <c r="C25" s="13" t="s">
        <v>41</v>
      </c>
      <c r="D25" s="16" t="str">
        <v>mai25</v>
      </c>
      <c r="E25" s="16">
        <v>5662</v>
      </c>
      <c r="K25" s="37" t="s">
        <v>19</v>
      </c>
      <c r="M25" s="38" t="str">
        <f>_xlfn.TEXTBEFORE(K25,"2")</f>
        <v>mai</v>
      </c>
      <c r="N25" s="35"/>
      <c r="O25" s="38" t="str">
        <f t="shared" si="0"/>
        <v>2025</v>
      </c>
      <c r="P25" s="35"/>
      <c r="Q25" s="35"/>
      <c r="R25" s="35"/>
      <c r="S25" s="37">
        <f>DATE(YEAR(K25),MONTH(K25),1)</f>
        <v>45778</v>
      </c>
    </row>
    <row r="26" spans="1:19" ht="54" x14ac:dyDescent="0.2">
      <c r="A26" s="11" t="s">
        <v>39</v>
      </c>
      <c r="B26" s="12" t="s">
        <v>40</v>
      </c>
      <c r="C26" s="13" t="s">
        <v>41</v>
      </c>
      <c r="D26" s="16" t="str">
        <v>juin25</v>
      </c>
      <c r="E26" s="16">
        <v>3943</v>
      </c>
      <c r="K26" s="37" t="s">
        <v>20</v>
      </c>
      <c r="M26" s="38" t="str">
        <f>_xlfn.TEXTBEFORE(K26,"2")</f>
        <v>juin</v>
      </c>
      <c r="N26" s="35"/>
      <c r="O26" s="38" t="str">
        <f t="shared" si="0"/>
        <v>2025</v>
      </c>
      <c r="P26" s="35"/>
      <c r="Q26" s="35"/>
      <c r="R26" s="35"/>
      <c r="S26" s="37">
        <f>DATE(YEAR(K26),MONTH(K26),1)</f>
        <v>45809</v>
      </c>
    </row>
    <row r="27" spans="1:19" ht="54" x14ac:dyDescent="0.2">
      <c r="A27" s="11" t="s">
        <v>39</v>
      </c>
      <c r="B27" s="12" t="s">
        <v>40</v>
      </c>
      <c r="C27" s="13" t="s">
        <v>41</v>
      </c>
      <c r="D27" s="16" t="str">
        <v>juil.25</v>
      </c>
      <c r="E27" s="16">
        <v>4367</v>
      </c>
      <c r="K27" s="37" t="s">
        <v>21</v>
      </c>
      <c r="M27" s="38" t="str">
        <f>_xlfn.TEXTBEFORE(K27,"2")</f>
        <v>juil.</v>
      </c>
      <c r="N27" s="35"/>
      <c r="O27" s="38" t="str">
        <f t="shared" si="0"/>
        <v>2025</v>
      </c>
      <c r="P27" s="35"/>
      <c r="Q27" s="35"/>
      <c r="R27" s="35"/>
      <c r="S27" s="37">
        <f>DATE(YEAR(K27),MONTH(K27),1)</f>
        <v>45839</v>
      </c>
    </row>
    <row r="28" spans="1:19" ht="54" x14ac:dyDescent="0.2">
      <c r="A28" s="11" t="s">
        <v>39</v>
      </c>
      <c r="B28" s="12" t="s">
        <v>40</v>
      </c>
      <c r="C28" s="13" t="s">
        <v>41</v>
      </c>
      <c r="D28" s="16" t="str">
        <v>août25</v>
      </c>
      <c r="E28" s="16">
        <v>3866</v>
      </c>
      <c r="K28" s="37" t="s">
        <v>22</v>
      </c>
      <c r="M28" s="38" t="str">
        <f>_xlfn.TEXTBEFORE(K28,"2")</f>
        <v>août</v>
      </c>
      <c r="N28" s="35"/>
      <c r="O28" s="38" t="str">
        <f t="shared" si="0"/>
        <v>2025</v>
      </c>
      <c r="P28" s="35"/>
      <c r="Q28" s="35"/>
      <c r="R28" s="35"/>
      <c r="S28" s="37">
        <f>DATE(YEAR(K28),MONTH(K28),1)</f>
        <v>45870</v>
      </c>
    </row>
    <row r="29" spans="1:19" ht="54" x14ac:dyDescent="0.2">
      <c r="A29" s="11" t="s">
        <v>39</v>
      </c>
      <c r="B29" s="12" t="s">
        <v>40</v>
      </c>
      <c r="C29" s="13" t="s">
        <v>41</v>
      </c>
      <c r="D29" s="16" t="str">
        <v>sept.25</v>
      </c>
      <c r="E29" s="16">
        <v>10765</v>
      </c>
      <c r="K29" s="37" t="s">
        <v>23</v>
      </c>
      <c r="M29" s="38" t="str">
        <f>_xlfn.TEXTBEFORE(K29,"2")</f>
        <v>sept.</v>
      </c>
      <c r="N29" s="35"/>
      <c r="O29" s="38" t="str">
        <f t="shared" si="0"/>
        <v>2025</v>
      </c>
      <c r="P29" s="35"/>
      <c r="Q29" s="35"/>
      <c r="R29" s="35"/>
      <c r="S29" s="37">
        <f>DATE(YEAR(K29),MONTH(K29),1)</f>
        <v>45901</v>
      </c>
    </row>
    <row r="30" spans="1:19" ht="54" x14ac:dyDescent="0.2">
      <c r="A30" s="11" t="s">
        <v>39</v>
      </c>
      <c r="B30" s="12" t="s">
        <v>40</v>
      </c>
      <c r="C30" s="13" t="s">
        <v>41</v>
      </c>
      <c r="D30" s="16" t="str">
        <v>oct.25</v>
      </c>
      <c r="E30" s="16">
        <v>8073</v>
      </c>
      <c r="K30" s="37" t="s">
        <v>24</v>
      </c>
      <c r="M30" s="38" t="str">
        <f>_xlfn.TEXTBEFORE(K30,"2")</f>
        <v>oct.</v>
      </c>
      <c r="N30" s="35"/>
      <c r="O30" s="38" t="str">
        <f t="shared" si="0"/>
        <v>2025</v>
      </c>
      <c r="P30" s="35"/>
      <c r="Q30" s="35"/>
      <c r="R30" s="35"/>
      <c r="S30" s="37">
        <f>DATE(YEAR(K30),MONTH(K30),1)</f>
        <v>45931</v>
      </c>
    </row>
    <row r="31" spans="1:19" ht="54" x14ac:dyDescent="0.2">
      <c r="A31" s="11" t="s">
        <v>39</v>
      </c>
      <c r="B31" s="12" t="s">
        <v>40</v>
      </c>
      <c r="C31" s="13" t="s">
        <v>41</v>
      </c>
      <c r="D31" s="16" t="str">
        <v>nov.25</v>
      </c>
      <c r="E31" s="16">
        <v>5748</v>
      </c>
      <c r="K31" s="37" t="s">
        <v>25</v>
      </c>
      <c r="M31" s="38" t="str">
        <f>_xlfn.TEXTBEFORE(K31,"2")</f>
        <v>nov.</v>
      </c>
      <c r="N31" s="35"/>
      <c r="O31" s="38" t="str">
        <f t="shared" si="0"/>
        <v>2025</v>
      </c>
      <c r="P31" s="35"/>
      <c r="Q31" s="35"/>
      <c r="R31" s="35"/>
      <c r="S31" s="37">
        <f>DATE(YEAR(K31),MONTH(K31),1)</f>
        <v>45962</v>
      </c>
    </row>
    <row r="32" spans="1:19" ht="54" x14ac:dyDescent="0.2">
      <c r="A32" s="11" t="s">
        <v>39</v>
      </c>
      <c r="B32" s="12" t="s">
        <v>40</v>
      </c>
      <c r="C32" s="13" t="s">
        <v>41</v>
      </c>
      <c r="D32" s="16" t="str">
        <v>déc.25</v>
      </c>
      <c r="E32" s="16">
        <v>3919</v>
      </c>
      <c r="K32" s="37" t="s">
        <v>26</v>
      </c>
      <c r="M32" s="38" t="str">
        <f>_xlfn.TEXTBEFORE(K32,"2")</f>
        <v>déc.</v>
      </c>
      <c r="N32" s="35"/>
      <c r="O32" s="38" t="str">
        <f t="shared" si="0"/>
        <v>2025</v>
      </c>
      <c r="P32" s="35"/>
      <c r="Q32" s="35"/>
      <c r="R32" s="35"/>
      <c r="S32" s="37">
        <f>DATE(YEAR(K32),MONTH(K32),1)</f>
        <v>45992</v>
      </c>
    </row>
    <row r="33" spans="1:19" ht="54" x14ac:dyDescent="0.2">
      <c r="A33" s="11" t="s">
        <v>39</v>
      </c>
      <c r="B33" s="12" t="s">
        <v>40</v>
      </c>
      <c r="C33" s="13" t="s">
        <v>41</v>
      </c>
      <c r="D33" s="16" t="str">
        <v>janv.26</v>
      </c>
      <c r="E33" s="16">
        <v>5252</v>
      </c>
      <c r="K33" s="37" t="s">
        <v>3</v>
      </c>
      <c r="M33" s="38" t="str">
        <f>_xlfn.TEXTBEFORE(K33,"2")</f>
        <v>janv.</v>
      </c>
      <c r="N33" s="35"/>
      <c r="O33" s="38" t="str">
        <f t="shared" si="0"/>
        <v>2026</v>
      </c>
      <c r="P33" s="35"/>
      <c r="Q33" s="35"/>
      <c r="R33" s="35"/>
      <c r="S33" s="37">
        <f>DATE(YEAR(K33),MONTH(K33),1)</f>
        <v>46023</v>
      </c>
    </row>
    <row r="34" spans="1:19" ht="54" x14ac:dyDescent="0.2">
      <c r="A34" s="11" t="s">
        <v>39</v>
      </c>
      <c r="B34" s="12" t="s">
        <v>40</v>
      </c>
      <c r="C34" s="13" t="s">
        <v>41</v>
      </c>
      <c r="D34" s="16" t="str">
        <v>févr.26</v>
      </c>
      <c r="E34" s="16">
        <v>7084</v>
      </c>
      <c r="K34" s="37" t="s">
        <v>4</v>
      </c>
      <c r="M34" s="38" t="str">
        <f>_xlfn.TEXTBEFORE(K34,"2")</f>
        <v>févr.</v>
      </c>
      <c r="N34" s="35"/>
      <c r="O34" s="38" t="str">
        <f t="shared" si="0"/>
        <v>2026</v>
      </c>
      <c r="P34" s="35"/>
      <c r="Q34" s="35"/>
      <c r="R34" s="35"/>
      <c r="S34" s="37">
        <f>DATE(YEAR(K34),MONTH(K34),1)</f>
        <v>46054</v>
      </c>
    </row>
    <row r="35" spans="1:19" ht="54" x14ac:dyDescent="0.2">
      <c r="A35" s="11" t="s">
        <v>39</v>
      </c>
      <c r="B35" s="12" t="s">
        <v>40</v>
      </c>
      <c r="C35" s="13" t="s">
        <v>41</v>
      </c>
      <c r="D35" s="16" t="str">
        <v>mars26</v>
      </c>
      <c r="E35" s="16">
        <v>7262</v>
      </c>
      <c r="K35" s="37" t="s">
        <v>5</v>
      </c>
      <c r="M35" s="38" t="str">
        <f>_xlfn.TEXTBEFORE(K35,"2")</f>
        <v>mars</v>
      </c>
      <c r="N35" s="35"/>
      <c r="O35" s="38" t="str">
        <f t="shared" si="0"/>
        <v>2026</v>
      </c>
      <c r="P35" s="35"/>
      <c r="Q35" s="35"/>
      <c r="R35" s="35"/>
      <c r="S35" s="37">
        <f>DATE(YEAR(K35),MONTH(K35),1)</f>
        <v>46082</v>
      </c>
    </row>
    <row r="36" spans="1:19" ht="54" x14ac:dyDescent="0.2">
      <c r="A36" s="11" t="s">
        <v>39</v>
      </c>
      <c r="B36" s="12" t="s">
        <v>40</v>
      </c>
      <c r="C36" s="13" t="s">
        <v>41</v>
      </c>
      <c r="D36" s="16" t="str">
        <v>avr.26</v>
      </c>
      <c r="E36" s="16">
        <v>5243</v>
      </c>
      <c r="K36" s="37" t="s">
        <v>6</v>
      </c>
      <c r="M36" s="38" t="str">
        <f>_xlfn.TEXTBEFORE(K36,"2")</f>
        <v>avr.</v>
      </c>
      <c r="N36" s="35"/>
      <c r="O36" s="38" t="str">
        <f t="shared" si="0"/>
        <v>2026</v>
      </c>
      <c r="P36" s="35"/>
      <c r="Q36" s="35"/>
      <c r="R36" s="35"/>
      <c r="S36" s="37">
        <f>DATE(YEAR(K36),MONTH(K36),1)</f>
        <v>46113</v>
      </c>
    </row>
    <row r="37" spans="1:19" ht="54" x14ac:dyDescent="0.2">
      <c r="A37" s="11" t="s">
        <v>39</v>
      </c>
      <c r="B37" s="12" t="s">
        <v>40</v>
      </c>
      <c r="C37" s="13" t="s">
        <v>41</v>
      </c>
      <c r="D37" s="16" t="str">
        <v>mai26</v>
      </c>
      <c r="E37" s="16">
        <v>4215</v>
      </c>
      <c r="K37" s="37" t="s">
        <v>7</v>
      </c>
      <c r="M37" s="38" t="str">
        <f>_xlfn.TEXTBEFORE(K37,"2")</f>
        <v>mai</v>
      </c>
      <c r="N37" s="35"/>
      <c r="O37" s="38" t="str">
        <f t="shared" si="0"/>
        <v>2026</v>
      </c>
      <c r="P37" s="35"/>
      <c r="Q37" s="35"/>
      <c r="R37" s="35"/>
      <c r="S37" s="37">
        <f>DATE(YEAR(K37),MONTH(K37),1)</f>
        <v>46143</v>
      </c>
    </row>
    <row r="38" spans="1:19" ht="54" x14ac:dyDescent="0.2">
      <c r="A38" s="11" t="s">
        <v>39</v>
      </c>
      <c r="B38" s="12" t="s">
        <v>40</v>
      </c>
      <c r="C38" s="13" t="s">
        <v>41</v>
      </c>
      <c r="D38" s="16" t="str">
        <v>juin26</v>
      </c>
      <c r="E38" s="16">
        <v>3141</v>
      </c>
      <c r="K38" s="37" t="s">
        <v>8</v>
      </c>
      <c r="M38" s="38" t="str">
        <f>_xlfn.TEXTBEFORE(K38,"2")</f>
        <v>juin</v>
      </c>
      <c r="N38" s="35"/>
      <c r="O38" s="38" t="str">
        <f t="shared" si="0"/>
        <v>2026</v>
      </c>
      <c r="P38" s="35"/>
      <c r="Q38" s="35"/>
      <c r="R38" s="35"/>
      <c r="S38" s="37">
        <f>DATE(YEAR(K38),MONTH(K38),1)</f>
        <v>46174</v>
      </c>
    </row>
    <row r="39" spans="1:19" ht="54" x14ac:dyDescent="0.2">
      <c r="A39" s="11" t="s">
        <v>39</v>
      </c>
      <c r="B39" s="12" t="s">
        <v>40</v>
      </c>
      <c r="C39" s="13" t="s">
        <v>41</v>
      </c>
      <c r="D39" s="16" t="str">
        <v>juil.26</v>
      </c>
      <c r="E39" s="16">
        <v>1639</v>
      </c>
      <c r="K39" s="37" t="s">
        <v>9</v>
      </c>
      <c r="M39" s="38" t="str">
        <f>_xlfn.TEXTBEFORE(K39,"2")</f>
        <v>juil.</v>
      </c>
      <c r="N39" s="35"/>
      <c r="O39" s="38" t="str">
        <f t="shared" si="0"/>
        <v>2026</v>
      </c>
      <c r="P39" s="35"/>
      <c r="Q39" s="35"/>
      <c r="R39" s="35"/>
      <c r="S39" s="37">
        <f>DATE(YEAR(K39),MONTH(K39),1)</f>
        <v>46204</v>
      </c>
    </row>
    <row r="40" spans="1:19" ht="54" x14ac:dyDescent="0.2">
      <c r="A40" s="11" t="s">
        <v>39</v>
      </c>
      <c r="B40" s="12" t="s">
        <v>40</v>
      </c>
      <c r="C40" s="13" t="s">
        <v>41</v>
      </c>
      <c r="D40" s="16" t="str">
        <v>août26</v>
      </c>
      <c r="E40" s="16">
        <v>0</v>
      </c>
      <c r="K40" s="37" t="s">
        <v>10</v>
      </c>
      <c r="M40" s="38" t="str">
        <f>_xlfn.TEXTBEFORE(K40,"2")</f>
        <v>août</v>
      </c>
      <c r="N40" s="35"/>
      <c r="O40" s="38" t="str">
        <f t="shared" si="0"/>
        <v>2026</v>
      </c>
      <c r="P40" s="35"/>
      <c r="Q40" s="35"/>
      <c r="R40" s="35"/>
      <c r="S40" s="37">
        <f>DATE(YEAR(K40),MONTH(K40),1)</f>
        <v>46235</v>
      </c>
    </row>
    <row r="41" spans="1:19" ht="54" x14ac:dyDescent="0.2">
      <c r="A41" s="11" t="s">
        <v>39</v>
      </c>
      <c r="B41" s="12" t="s">
        <v>40</v>
      </c>
      <c r="C41" s="13" t="s">
        <v>41</v>
      </c>
      <c r="D41" s="16" t="str">
        <v>sept.26</v>
      </c>
      <c r="E41" s="16">
        <v>0</v>
      </c>
      <c r="K41" s="37" t="s">
        <v>11</v>
      </c>
      <c r="M41" s="38" t="str">
        <f>_xlfn.TEXTBEFORE(K41,"2")</f>
        <v>sept.</v>
      </c>
      <c r="N41" s="35"/>
      <c r="O41" s="38" t="str">
        <f t="shared" si="0"/>
        <v>2026</v>
      </c>
      <c r="P41" s="35"/>
      <c r="Q41" s="35"/>
      <c r="R41" s="35"/>
      <c r="S41" s="37">
        <f>DATE(YEAR(K41),MONTH(K41),1)</f>
        <v>46266</v>
      </c>
    </row>
    <row r="42" spans="1:19" ht="54" x14ac:dyDescent="0.2">
      <c r="A42" s="11" t="s">
        <v>39</v>
      </c>
      <c r="B42" s="12" t="s">
        <v>40</v>
      </c>
      <c r="C42" s="13" t="s">
        <v>41</v>
      </c>
      <c r="D42" s="16" t="str">
        <v>oct.26</v>
      </c>
      <c r="E42" s="16">
        <v>0</v>
      </c>
      <c r="K42" s="37" t="s">
        <v>12</v>
      </c>
      <c r="M42" s="38" t="str">
        <f>_xlfn.TEXTBEFORE(K42,"2")</f>
        <v>oct.</v>
      </c>
      <c r="N42" s="35"/>
      <c r="O42" s="38" t="str">
        <f t="shared" si="0"/>
        <v>2026</v>
      </c>
      <c r="P42" s="35"/>
      <c r="Q42" s="35"/>
      <c r="R42" s="35"/>
      <c r="S42" s="37">
        <f>DATE(YEAR(K42),MONTH(K42),1)</f>
        <v>46296</v>
      </c>
    </row>
    <row r="43" spans="1:19" ht="54" x14ac:dyDescent="0.2">
      <c r="A43" s="11" t="s">
        <v>39</v>
      </c>
      <c r="B43" s="12" t="s">
        <v>40</v>
      </c>
      <c r="C43" s="13" t="s">
        <v>41</v>
      </c>
      <c r="D43" s="16" t="str">
        <v>nov.26</v>
      </c>
      <c r="E43" s="16">
        <v>0</v>
      </c>
      <c r="K43" s="37" t="s">
        <v>13</v>
      </c>
      <c r="M43" s="38" t="str">
        <f>_xlfn.TEXTBEFORE(K43,"2")</f>
        <v>nov.</v>
      </c>
      <c r="N43" s="35"/>
      <c r="O43" s="38" t="str">
        <f t="shared" si="0"/>
        <v>2026</v>
      </c>
      <c r="P43" s="35"/>
      <c r="Q43" s="35"/>
      <c r="R43" s="35"/>
      <c r="S43" s="37">
        <f>DATE(YEAR(K43),MONTH(K43),1)</f>
        <v>46327</v>
      </c>
    </row>
    <row r="44" spans="1:19" ht="54" x14ac:dyDescent="0.2">
      <c r="A44" s="11" t="s">
        <v>39</v>
      </c>
      <c r="B44" s="12" t="s">
        <v>40</v>
      </c>
      <c r="C44" s="13" t="s">
        <v>41</v>
      </c>
      <c r="D44" s="16" t="str">
        <v>déc.26</v>
      </c>
      <c r="E44" s="16">
        <v>0</v>
      </c>
      <c r="K44" s="37" t="s">
        <v>14</v>
      </c>
      <c r="M44" s="38" t="str">
        <f>_xlfn.TEXTBEFORE(K44,"2")</f>
        <v>déc.</v>
      </c>
      <c r="N44" s="35"/>
      <c r="O44" s="38" t="str">
        <f t="shared" si="0"/>
        <v>2026</v>
      </c>
      <c r="P44" s="35"/>
      <c r="Q44" s="35"/>
      <c r="R44" s="35"/>
      <c r="S44" s="37">
        <f>DATE(YEAR(K44),MONTH(K44),1)</f>
        <v>46357</v>
      </c>
    </row>
  </sheetData>
  <phoneticPr fontId="6" type="noConversion"/>
  <dataValidations disablePrompts="1" count="1">
    <dataValidation errorStyle="information" operator="greaterThan" showErrorMessage="1" errorTitle="Message SISB" error="Veuillez entrer un nombre positif entier" promptTitle="Message SISB" prompt="veuillez entrer un nombre entier" sqref="D2:AM2" xr:uid="{468B598A-32D6-494D-9418-A979C32E1545}"/>
  </dataValidation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52FE67-912B-46CC-994C-139B8793BC20}">
  <sheetPr>
    <tabColor theme="6" tint="0.79998168889431442"/>
  </sheetPr>
  <dimension ref="A1:K37"/>
  <sheetViews>
    <sheetView showGridLines="0" tabSelected="1" zoomScaleNormal="100" workbookViewId="0">
      <selection activeCell="N25" sqref="N25"/>
    </sheetView>
  </sheetViews>
  <sheetFormatPr baseColWidth="10" defaultRowHeight="12" outlineLevelRow="1" x14ac:dyDescent="0.2"/>
  <cols>
    <col min="1" max="1" width="18" customWidth="1"/>
    <col min="2" max="2" width="14.33203125" style="15" bestFit="1" customWidth="1"/>
    <col min="3" max="4" width="14.33203125" style="15" customWidth="1"/>
    <col min="5" max="5" width="12" style="20"/>
    <col min="9" max="10" width="12.5" bestFit="1" customWidth="1"/>
    <col min="14" max="14" width="17.5" bestFit="1" customWidth="1"/>
    <col min="15" max="17" width="6.5" bestFit="1" customWidth="1"/>
    <col min="18" max="18" width="13.1640625" bestFit="1" customWidth="1"/>
  </cols>
  <sheetData>
    <row r="1" spans="1:5" ht="20.100000000000001" customHeight="1" x14ac:dyDescent="0.2">
      <c r="A1" s="59" t="s">
        <v>0</v>
      </c>
      <c r="B1" s="60" t="s">
        <v>43</v>
      </c>
      <c r="C1" s="61" t="s">
        <v>49</v>
      </c>
      <c r="D1" s="61" t="s">
        <v>50</v>
      </c>
      <c r="E1" s="62" t="s">
        <v>44</v>
      </c>
    </row>
    <row r="2" spans="1:5" ht="20.100000000000001" customHeight="1" outlineLevel="1" x14ac:dyDescent="0.2">
      <c r="A2" s="11" t="s">
        <v>39</v>
      </c>
      <c r="B2" s="18">
        <v>45292</v>
      </c>
      <c r="C2" s="58">
        <v>2024</v>
      </c>
      <c r="D2" s="21" t="s">
        <v>51</v>
      </c>
      <c r="E2" s="19">
        <v>7141</v>
      </c>
    </row>
    <row r="3" spans="1:5" ht="20.100000000000001" customHeight="1" outlineLevel="1" x14ac:dyDescent="0.2">
      <c r="A3" s="11" t="s">
        <v>39</v>
      </c>
      <c r="B3" s="18">
        <v>45323</v>
      </c>
      <c r="C3" s="58">
        <v>2024</v>
      </c>
      <c r="D3" s="21" t="s">
        <v>52</v>
      </c>
      <c r="E3" s="19">
        <v>10092</v>
      </c>
    </row>
    <row r="4" spans="1:5" ht="20.100000000000001" customHeight="1" outlineLevel="1" x14ac:dyDescent="0.2">
      <c r="A4" s="11" t="s">
        <v>39</v>
      </c>
      <c r="B4" s="18">
        <v>45352</v>
      </c>
      <c r="C4" s="58">
        <v>2024</v>
      </c>
      <c r="D4" s="21" t="s">
        <v>45</v>
      </c>
      <c r="E4" s="19">
        <v>9614</v>
      </c>
    </row>
    <row r="5" spans="1:5" ht="20.100000000000001" customHeight="1" outlineLevel="1" x14ac:dyDescent="0.2">
      <c r="A5" s="11" t="s">
        <v>39</v>
      </c>
      <c r="B5" s="18">
        <v>45383</v>
      </c>
      <c r="C5" s="58">
        <v>2024</v>
      </c>
      <c r="D5" s="21" t="s">
        <v>53</v>
      </c>
      <c r="E5" s="19">
        <v>8486</v>
      </c>
    </row>
    <row r="6" spans="1:5" ht="20.100000000000001" customHeight="1" outlineLevel="1" x14ac:dyDescent="0.2">
      <c r="A6" s="11" t="s">
        <v>39</v>
      </c>
      <c r="B6" s="18">
        <v>45413</v>
      </c>
      <c r="C6" s="58">
        <v>2024</v>
      </c>
      <c r="D6" s="21" t="s">
        <v>46</v>
      </c>
      <c r="E6" s="19">
        <v>7189</v>
      </c>
    </row>
    <row r="7" spans="1:5" ht="20.100000000000001" customHeight="1" outlineLevel="1" x14ac:dyDescent="0.2">
      <c r="A7" s="11" t="s">
        <v>39</v>
      </c>
      <c r="B7" s="18">
        <v>45444</v>
      </c>
      <c r="C7" s="58">
        <v>2024</v>
      </c>
      <c r="D7" s="21" t="s">
        <v>47</v>
      </c>
      <c r="E7" s="19">
        <v>5842</v>
      </c>
    </row>
    <row r="8" spans="1:5" ht="20.100000000000001" customHeight="1" outlineLevel="1" x14ac:dyDescent="0.2">
      <c r="A8" s="11" t="s">
        <v>39</v>
      </c>
      <c r="B8" s="18">
        <v>45474</v>
      </c>
      <c r="C8" s="58">
        <v>2024</v>
      </c>
      <c r="D8" s="21" t="s">
        <v>54</v>
      </c>
      <c r="E8" s="19">
        <v>5050</v>
      </c>
    </row>
    <row r="9" spans="1:5" ht="20.100000000000001" customHeight="1" outlineLevel="1" x14ac:dyDescent="0.2">
      <c r="A9" s="11" t="s">
        <v>39</v>
      </c>
      <c r="B9" s="18">
        <v>45505</v>
      </c>
      <c r="C9" s="58">
        <v>2024</v>
      </c>
      <c r="D9" s="21" t="s">
        <v>48</v>
      </c>
      <c r="E9" s="19">
        <v>4021</v>
      </c>
    </row>
    <row r="10" spans="1:5" ht="20.100000000000001" customHeight="1" outlineLevel="1" x14ac:dyDescent="0.2">
      <c r="A10" s="11" t="s">
        <v>39</v>
      </c>
      <c r="B10" s="18">
        <v>45536</v>
      </c>
      <c r="C10" s="58">
        <v>2024</v>
      </c>
      <c r="D10" s="21" t="s">
        <v>55</v>
      </c>
      <c r="E10" s="19">
        <v>11078</v>
      </c>
    </row>
    <row r="11" spans="1:5" ht="20.100000000000001" customHeight="1" outlineLevel="1" x14ac:dyDescent="0.2">
      <c r="A11" s="11" t="s">
        <v>39</v>
      </c>
      <c r="B11" s="18">
        <v>45566</v>
      </c>
      <c r="C11" s="58">
        <v>2024</v>
      </c>
      <c r="D11" s="21" t="s">
        <v>56</v>
      </c>
      <c r="E11" s="19">
        <v>9763</v>
      </c>
    </row>
    <row r="12" spans="1:5" ht="20.100000000000001" customHeight="1" outlineLevel="1" x14ac:dyDescent="0.2">
      <c r="A12" s="11" t="s">
        <v>39</v>
      </c>
      <c r="B12" s="18">
        <v>45597</v>
      </c>
      <c r="C12" s="58">
        <v>2024</v>
      </c>
      <c r="D12" s="21" t="s">
        <v>57</v>
      </c>
      <c r="E12" s="19">
        <v>7972</v>
      </c>
    </row>
    <row r="13" spans="1:5" ht="20.100000000000001" customHeight="1" outlineLevel="1" x14ac:dyDescent="0.2">
      <c r="A13" s="11" t="s">
        <v>39</v>
      </c>
      <c r="B13" s="18">
        <v>45627</v>
      </c>
      <c r="C13" s="58">
        <v>2024</v>
      </c>
      <c r="D13" s="21" t="s">
        <v>58</v>
      </c>
      <c r="E13" s="19">
        <v>5172</v>
      </c>
    </row>
    <row r="14" spans="1:5" ht="20.100000000000001" customHeight="1" outlineLevel="1" x14ac:dyDescent="0.2">
      <c r="A14" s="11" t="s">
        <v>39</v>
      </c>
      <c r="B14" s="18">
        <v>45658</v>
      </c>
      <c r="C14" s="58">
        <v>2025</v>
      </c>
      <c r="D14" s="21" t="s">
        <v>51</v>
      </c>
      <c r="E14" s="19">
        <v>4946</v>
      </c>
    </row>
    <row r="15" spans="1:5" ht="20.100000000000001" customHeight="1" outlineLevel="1" x14ac:dyDescent="0.2">
      <c r="A15" s="11" t="s">
        <v>39</v>
      </c>
      <c r="B15" s="18">
        <v>45689</v>
      </c>
      <c r="C15" s="58">
        <v>2025</v>
      </c>
      <c r="D15" s="21" t="s">
        <v>52</v>
      </c>
      <c r="E15" s="19">
        <v>8369</v>
      </c>
    </row>
    <row r="16" spans="1:5" ht="20.100000000000001" customHeight="1" outlineLevel="1" x14ac:dyDescent="0.2">
      <c r="A16" s="11" t="s">
        <v>39</v>
      </c>
      <c r="B16" s="18">
        <v>45717</v>
      </c>
      <c r="C16" s="58">
        <v>2025</v>
      </c>
      <c r="D16" s="21" t="s">
        <v>45</v>
      </c>
      <c r="E16" s="19">
        <v>8414</v>
      </c>
    </row>
    <row r="17" spans="1:11" ht="20.100000000000001" customHeight="1" outlineLevel="1" x14ac:dyDescent="0.2">
      <c r="A17" s="11" t="s">
        <v>39</v>
      </c>
      <c r="B17" s="18">
        <v>45748</v>
      </c>
      <c r="C17" s="58">
        <v>2025</v>
      </c>
      <c r="D17" s="21" t="s">
        <v>53</v>
      </c>
      <c r="E17" s="19">
        <v>6173</v>
      </c>
    </row>
    <row r="18" spans="1:11" ht="20.100000000000001" customHeight="1" outlineLevel="1" x14ac:dyDescent="0.2">
      <c r="A18" s="11" t="s">
        <v>39</v>
      </c>
      <c r="B18" s="18">
        <v>45778</v>
      </c>
      <c r="C18" s="58">
        <v>2025</v>
      </c>
      <c r="D18" s="21" t="s">
        <v>46</v>
      </c>
      <c r="E18" s="19">
        <v>5662</v>
      </c>
    </row>
    <row r="19" spans="1:11" ht="20.100000000000001" customHeight="1" outlineLevel="1" x14ac:dyDescent="0.2">
      <c r="A19" s="11" t="s">
        <v>39</v>
      </c>
      <c r="B19" s="18">
        <v>45809</v>
      </c>
      <c r="C19" s="58">
        <v>2025</v>
      </c>
      <c r="D19" s="21" t="s">
        <v>47</v>
      </c>
      <c r="E19" s="19">
        <v>3943</v>
      </c>
    </row>
    <row r="20" spans="1:11" ht="20.100000000000001" customHeight="1" outlineLevel="1" x14ac:dyDescent="0.2">
      <c r="A20" s="11" t="s">
        <v>39</v>
      </c>
      <c r="B20" s="18">
        <v>45839</v>
      </c>
      <c r="C20" s="58">
        <v>2025</v>
      </c>
      <c r="D20" s="21" t="s">
        <v>54</v>
      </c>
      <c r="E20" s="19">
        <v>4367</v>
      </c>
    </row>
    <row r="21" spans="1:11" ht="20.100000000000001" customHeight="1" outlineLevel="1" x14ac:dyDescent="0.2">
      <c r="A21" s="11" t="s">
        <v>39</v>
      </c>
      <c r="B21" s="18">
        <v>45870</v>
      </c>
      <c r="C21" s="58">
        <v>2025</v>
      </c>
      <c r="D21" s="21" t="s">
        <v>48</v>
      </c>
      <c r="E21" s="19">
        <v>3866</v>
      </c>
    </row>
    <row r="22" spans="1:11" ht="20.100000000000001" customHeight="1" outlineLevel="1" x14ac:dyDescent="0.2">
      <c r="A22" s="11" t="s">
        <v>39</v>
      </c>
      <c r="B22" s="18">
        <v>45901</v>
      </c>
      <c r="C22" s="58">
        <v>2025</v>
      </c>
      <c r="D22" s="21" t="s">
        <v>55</v>
      </c>
      <c r="E22" s="19">
        <v>10765</v>
      </c>
    </row>
    <row r="23" spans="1:11" ht="20.100000000000001" customHeight="1" outlineLevel="1" x14ac:dyDescent="0.2">
      <c r="A23" s="11" t="s">
        <v>39</v>
      </c>
      <c r="B23" s="18">
        <v>45931</v>
      </c>
      <c r="C23" s="58">
        <v>2025</v>
      </c>
      <c r="D23" s="21" t="s">
        <v>56</v>
      </c>
      <c r="E23" s="19">
        <v>8073</v>
      </c>
    </row>
    <row r="24" spans="1:11" ht="20.100000000000001" customHeight="1" outlineLevel="1" x14ac:dyDescent="0.2">
      <c r="A24" s="11" t="s">
        <v>39</v>
      </c>
      <c r="B24" s="18">
        <v>45962</v>
      </c>
      <c r="C24" s="58">
        <v>2025</v>
      </c>
      <c r="D24" s="21" t="s">
        <v>57</v>
      </c>
      <c r="E24" s="19">
        <v>5748</v>
      </c>
    </row>
    <row r="25" spans="1:11" ht="20.100000000000001" customHeight="1" outlineLevel="1" x14ac:dyDescent="0.2">
      <c r="A25" s="11" t="s">
        <v>39</v>
      </c>
      <c r="B25" s="18">
        <v>45992</v>
      </c>
      <c r="C25" s="58">
        <v>2025</v>
      </c>
      <c r="D25" s="21" t="s">
        <v>58</v>
      </c>
      <c r="E25" s="19">
        <v>3919</v>
      </c>
    </row>
    <row r="26" spans="1:11" ht="20.100000000000001" customHeight="1" x14ac:dyDescent="0.2">
      <c r="A26" s="11" t="s">
        <v>39</v>
      </c>
      <c r="B26" s="18">
        <v>46023</v>
      </c>
      <c r="C26" s="58">
        <v>2026</v>
      </c>
      <c r="D26" s="21" t="s">
        <v>51</v>
      </c>
      <c r="E26" s="19">
        <v>5252</v>
      </c>
    </row>
    <row r="27" spans="1:11" ht="20.100000000000001" customHeight="1" x14ac:dyDescent="0.2">
      <c r="A27" s="11" t="s">
        <v>39</v>
      </c>
      <c r="B27" s="18">
        <v>46054</v>
      </c>
      <c r="C27" s="58">
        <v>2026</v>
      </c>
      <c r="D27" s="21" t="s">
        <v>52</v>
      </c>
      <c r="E27" s="19">
        <v>7084</v>
      </c>
    </row>
    <row r="28" spans="1:11" ht="20.100000000000001" customHeight="1" x14ac:dyDescent="0.2">
      <c r="A28" s="11" t="s">
        <v>39</v>
      </c>
      <c r="B28" s="18">
        <v>46082</v>
      </c>
      <c r="C28" s="58">
        <v>2026</v>
      </c>
      <c r="D28" s="21" t="s">
        <v>45</v>
      </c>
      <c r="E28" s="19">
        <v>7262</v>
      </c>
    </row>
    <row r="29" spans="1:11" ht="20.100000000000001" customHeight="1" x14ac:dyDescent="0.2">
      <c r="A29" s="11" t="s">
        <v>39</v>
      </c>
      <c r="B29" s="18">
        <v>46113</v>
      </c>
      <c r="C29" s="58">
        <v>2026</v>
      </c>
      <c r="D29" s="21" t="s">
        <v>53</v>
      </c>
      <c r="E29" s="19">
        <v>5243</v>
      </c>
    </row>
    <row r="30" spans="1:11" ht="20.100000000000001" customHeight="1" x14ac:dyDescent="0.2">
      <c r="A30" s="11" t="s">
        <v>39</v>
      </c>
      <c r="B30" s="18">
        <v>46143</v>
      </c>
      <c r="C30" s="58">
        <v>2026</v>
      </c>
      <c r="D30" s="21" t="s">
        <v>46</v>
      </c>
      <c r="E30" s="19">
        <v>4215</v>
      </c>
    </row>
    <row r="31" spans="1:11" ht="20.100000000000001" customHeight="1" x14ac:dyDescent="0.2">
      <c r="A31" s="11" t="s">
        <v>39</v>
      </c>
      <c r="B31" s="18">
        <v>46174</v>
      </c>
      <c r="C31" s="58">
        <v>2026</v>
      </c>
      <c r="D31" s="21" t="s">
        <v>47</v>
      </c>
      <c r="E31" s="19">
        <v>3141</v>
      </c>
    </row>
    <row r="32" spans="1:11" ht="20.100000000000001" customHeight="1" thickBot="1" x14ac:dyDescent="0.25">
      <c r="A32" s="11" t="s">
        <v>39</v>
      </c>
      <c r="B32" s="18">
        <v>46204</v>
      </c>
      <c r="C32" s="58">
        <v>2026</v>
      </c>
      <c r="D32" s="21" t="s">
        <v>54</v>
      </c>
      <c r="E32" s="19">
        <v>1639</v>
      </c>
      <c r="H32" s="69" t="str" cm="1">
        <f t="array" ref="H32:I36">_xlfn.PIVOTBY(C2:C37,A2:A37,E2:E37,_xleta.SUM,,1,,0)</f>
        <v/>
      </c>
      <c r="I32" s="69" t="str">
        <v>USE_010</v>
      </c>
      <c r="J32" s="71"/>
      <c r="K32" s="73" t="str">
        <f ca="1">_xlfn.FORMULATEXT(H32)</f>
        <v>=PIVOTER.PAR(C2:C37;A2:A37;E2:E37;SOMME;;1;;0)</v>
      </c>
    </row>
    <row r="33" spans="1:10" ht="20.100000000000001" customHeight="1" x14ac:dyDescent="0.2">
      <c r="A33" s="11" t="s">
        <v>39</v>
      </c>
      <c r="B33" s="18">
        <v>46235</v>
      </c>
      <c r="C33" s="58">
        <v>2026</v>
      </c>
      <c r="D33" s="21" t="s">
        <v>48</v>
      </c>
      <c r="E33" s="19"/>
      <c r="H33" s="63">
        <v>2024</v>
      </c>
      <c r="I33" s="68">
        <v>91420</v>
      </c>
      <c r="J33" s="72"/>
    </row>
    <row r="34" spans="1:10" ht="20.100000000000001" customHeight="1" x14ac:dyDescent="0.2">
      <c r="A34" s="11" t="s">
        <v>39</v>
      </c>
      <c r="B34" s="18">
        <v>46266</v>
      </c>
      <c r="C34" s="58">
        <v>2026</v>
      </c>
      <c r="D34" s="21" t="s">
        <v>55</v>
      </c>
      <c r="E34" s="19"/>
      <c r="H34" s="64">
        <v>2025</v>
      </c>
      <c r="I34" s="66">
        <v>74245</v>
      </c>
      <c r="J34" s="72"/>
    </row>
    <row r="35" spans="1:10" ht="20.100000000000001" customHeight="1" x14ac:dyDescent="0.2">
      <c r="A35" s="11" t="s">
        <v>39</v>
      </c>
      <c r="B35" s="18">
        <v>46296</v>
      </c>
      <c r="C35" s="58">
        <v>2026</v>
      </c>
      <c r="D35" s="21" t="s">
        <v>56</v>
      </c>
      <c r="E35" s="19"/>
      <c r="H35" s="64">
        <v>2026</v>
      </c>
      <c r="I35" s="66">
        <v>33836</v>
      </c>
      <c r="J35" s="72"/>
    </row>
    <row r="36" spans="1:10" ht="20.100000000000001" customHeight="1" x14ac:dyDescent="0.2">
      <c r="A36" s="11" t="s">
        <v>39</v>
      </c>
      <c r="B36" s="18">
        <v>46327</v>
      </c>
      <c r="C36" s="58">
        <v>2026</v>
      </c>
      <c r="D36" s="21" t="s">
        <v>57</v>
      </c>
      <c r="E36" s="19"/>
      <c r="H36" s="65" t="str">
        <v>Total</v>
      </c>
      <c r="I36" s="67">
        <v>199501</v>
      </c>
      <c r="J36" s="70"/>
    </row>
    <row r="37" spans="1:10" ht="20.100000000000001" customHeight="1" x14ac:dyDescent="0.2">
      <c r="A37" s="11" t="s">
        <v>39</v>
      </c>
      <c r="B37" s="18">
        <v>46357</v>
      </c>
      <c r="C37" s="58">
        <v>2026</v>
      </c>
      <c r="D37" s="21" t="s">
        <v>58</v>
      </c>
      <c r="E37" s="19"/>
    </row>
  </sheetData>
  <autoFilter ref="A1:E1" xr:uid="{3E52FE67-912B-46CC-994C-139B8793BC20}"/>
  <phoneticPr fontId="6" type="noConversion"/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4C905D-3F27-479D-B148-2420C7E84B0D}">
  <sheetPr>
    <tabColor theme="6" tint="0.79998168889431442"/>
  </sheetPr>
  <dimension ref="A1:E37"/>
  <sheetViews>
    <sheetView showGridLines="0" zoomScaleNormal="100" workbookViewId="0">
      <selection activeCell="K37" sqref="K37"/>
    </sheetView>
  </sheetViews>
  <sheetFormatPr baseColWidth="10" defaultRowHeight="12" x14ac:dyDescent="0.2"/>
  <cols>
    <col min="1" max="1" width="18" customWidth="1"/>
    <col min="2" max="2" width="14.33203125" style="15" bestFit="1" customWidth="1"/>
    <col min="3" max="4" width="14.33203125" style="15" customWidth="1"/>
    <col min="5" max="5" width="12" style="20"/>
    <col min="14" max="14" width="17.5" bestFit="1" customWidth="1"/>
    <col min="15" max="17" width="6.5" bestFit="1" customWidth="1"/>
    <col min="18" max="18" width="13.1640625" bestFit="1" customWidth="1"/>
  </cols>
  <sheetData>
    <row r="1" spans="1:5" ht="20.100000000000001" customHeight="1" x14ac:dyDescent="0.2">
      <c r="A1" s="42" t="s">
        <v>0</v>
      </c>
      <c r="B1" s="43" t="s">
        <v>43</v>
      </c>
      <c r="C1" s="44" t="s">
        <v>49</v>
      </c>
      <c r="D1" s="44" t="s">
        <v>50</v>
      </c>
      <c r="E1" s="45" t="s">
        <v>44</v>
      </c>
    </row>
    <row r="2" spans="1:5" ht="20.100000000000001" customHeight="1" x14ac:dyDescent="0.2">
      <c r="A2" s="46" t="s">
        <v>39</v>
      </c>
      <c r="B2" s="47">
        <v>45292</v>
      </c>
      <c r="C2" s="56">
        <v>2024</v>
      </c>
      <c r="D2" s="48" t="s">
        <v>51</v>
      </c>
      <c r="E2" s="40">
        <v>7141</v>
      </c>
    </row>
    <row r="3" spans="1:5" ht="20.100000000000001" customHeight="1" x14ac:dyDescent="0.2">
      <c r="A3" s="46" t="s">
        <v>39</v>
      </c>
      <c r="B3" s="47">
        <v>45323</v>
      </c>
      <c r="C3" s="56">
        <v>2024</v>
      </c>
      <c r="D3" s="48" t="s">
        <v>52</v>
      </c>
      <c r="E3" s="40">
        <v>10092</v>
      </c>
    </row>
    <row r="4" spans="1:5" ht="20.100000000000001" customHeight="1" x14ac:dyDescent="0.2">
      <c r="A4" s="46" t="s">
        <v>39</v>
      </c>
      <c r="B4" s="47">
        <v>45352</v>
      </c>
      <c r="C4" s="56">
        <v>2024</v>
      </c>
      <c r="D4" s="48" t="s">
        <v>45</v>
      </c>
      <c r="E4" s="40">
        <v>9614</v>
      </c>
    </row>
    <row r="5" spans="1:5" ht="20.100000000000001" customHeight="1" x14ac:dyDescent="0.2">
      <c r="A5" s="46" t="s">
        <v>39</v>
      </c>
      <c r="B5" s="47">
        <v>45383</v>
      </c>
      <c r="C5" s="56">
        <v>2024</v>
      </c>
      <c r="D5" s="48" t="s">
        <v>53</v>
      </c>
      <c r="E5" s="40">
        <v>8486</v>
      </c>
    </row>
    <row r="6" spans="1:5" ht="20.100000000000001" customHeight="1" x14ac:dyDescent="0.2">
      <c r="A6" s="46" t="s">
        <v>39</v>
      </c>
      <c r="B6" s="47">
        <v>45413</v>
      </c>
      <c r="C6" s="56">
        <v>2024</v>
      </c>
      <c r="D6" s="48" t="s">
        <v>46</v>
      </c>
      <c r="E6" s="40">
        <v>7189</v>
      </c>
    </row>
    <row r="7" spans="1:5" ht="20.100000000000001" customHeight="1" x14ac:dyDescent="0.2">
      <c r="A7" s="46" t="s">
        <v>39</v>
      </c>
      <c r="B7" s="47">
        <v>45444</v>
      </c>
      <c r="C7" s="56">
        <v>2024</v>
      </c>
      <c r="D7" s="48" t="s">
        <v>47</v>
      </c>
      <c r="E7" s="40">
        <v>5842</v>
      </c>
    </row>
    <row r="8" spans="1:5" ht="20.100000000000001" customHeight="1" x14ac:dyDescent="0.2">
      <c r="A8" s="46" t="s">
        <v>39</v>
      </c>
      <c r="B8" s="47">
        <v>45474</v>
      </c>
      <c r="C8" s="56">
        <v>2024</v>
      </c>
      <c r="D8" s="48" t="s">
        <v>54</v>
      </c>
      <c r="E8" s="40">
        <v>5050</v>
      </c>
    </row>
    <row r="9" spans="1:5" ht="20.100000000000001" customHeight="1" x14ac:dyDescent="0.2">
      <c r="A9" s="46" t="s">
        <v>39</v>
      </c>
      <c r="B9" s="47">
        <v>45505</v>
      </c>
      <c r="C9" s="56">
        <v>2024</v>
      </c>
      <c r="D9" s="48" t="s">
        <v>48</v>
      </c>
      <c r="E9" s="40">
        <v>4021</v>
      </c>
    </row>
    <row r="10" spans="1:5" ht="20.100000000000001" customHeight="1" x14ac:dyDescent="0.2">
      <c r="A10" s="46" t="s">
        <v>39</v>
      </c>
      <c r="B10" s="47">
        <v>45536</v>
      </c>
      <c r="C10" s="56">
        <v>2024</v>
      </c>
      <c r="D10" s="48" t="s">
        <v>55</v>
      </c>
      <c r="E10" s="40">
        <v>11078</v>
      </c>
    </row>
    <row r="11" spans="1:5" ht="20.100000000000001" customHeight="1" x14ac:dyDescent="0.2">
      <c r="A11" s="46" t="s">
        <v>39</v>
      </c>
      <c r="B11" s="47">
        <v>45566</v>
      </c>
      <c r="C11" s="56">
        <v>2024</v>
      </c>
      <c r="D11" s="48" t="s">
        <v>56</v>
      </c>
      <c r="E11" s="40">
        <v>9763</v>
      </c>
    </row>
    <row r="12" spans="1:5" ht="20.100000000000001" customHeight="1" x14ac:dyDescent="0.2">
      <c r="A12" s="46" t="s">
        <v>39</v>
      </c>
      <c r="B12" s="47">
        <v>45597</v>
      </c>
      <c r="C12" s="56">
        <v>2024</v>
      </c>
      <c r="D12" s="48" t="s">
        <v>57</v>
      </c>
      <c r="E12" s="40">
        <v>7972</v>
      </c>
    </row>
    <row r="13" spans="1:5" ht="20.100000000000001" customHeight="1" x14ac:dyDescent="0.2">
      <c r="A13" s="46" t="s">
        <v>39</v>
      </c>
      <c r="B13" s="50">
        <v>45627</v>
      </c>
      <c r="C13" s="56">
        <v>2024</v>
      </c>
      <c r="D13" s="51" t="s">
        <v>58</v>
      </c>
      <c r="E13" s="41">
        <v>5172</v>
      </c>
    </row>
    <row r="14" spans="1:5" ht="20.100000000000001" customHeight="1" x14ac:dyDescent="0.2">
      <c r="A14" s="46" t="s">
        <v>39</v>
      </c>
      <c r="B14" s="47">
        <v>45658</v>
      </c>
      <c r="C14" s="56">
        <v>2025</v>
      </c>
      <c r="D14" s="48" t="s">
        <v>51</v>
      </c>
      <c r="E14" s="40">
        <v>4946</v>
      </c>
    </row>
    <row r="15" spans="1:5" ht="20.100000000000001" customHeight="1" x14ac:dyDescent="0.2">
      <c r="A15" s="46" t="s">
        <v>39</v>
      </c>
      <c r="B15" s="47">
        <v>45689</v>
      </c>
      <c r="C15" s="56">
        <v>2025</v>
      </c>
      <c r="D15" s="48" t="s">
        <v>52</v>
      </c>
      <c r="E15" s="40">
        <v>8369</v>
      </c>
    </row>
    <row r="16" spans="1:5" ht="20.100000000000001" customHeight="1" x14ac:dyDescent="0.2">
      <c r="A16" s="46" t="s">
        <v>39</v>
      </c>
      <c r="B16" s="47">
        <v>45717</v>
      </c>
      <c r="C16" s="56">
        <v>2025</v>
      </c>
      <c r="D16" s="48" t="s">
        <v>45</v>
      </c>
      <c r="E16" s="40">
        <v>8414</v>
      </c>
    </row>
    <row r="17" spans="1:5" ht="20.100000000000001" customHeight="1" x14ac:dyDescent="0.2">
      <c r="A17" s="46" t="s">
        <v>39</v>
      </c>
      <c r="B17" s="47">
        <v>45748</v>
      </c>
      <c r="C17" s="56">
        <v>2025</v>
      </c>
      <c r="D17" s="48" t="s">
        <v>53</v>
      </c>
      <c r="E17" s="40">
        <v>6173</v>
      </c>
    </row>
    <row r="18" spans="1:5" ht="20.100000000000001" customHeight="1" x14ac:dyDescent="0.2">
      <c r="A18" s="46" t="s">
        <v>39</v>
      </c>
      <c r="B18" s="47">
        <v>45778</v>
      </c>
      <c r="C18" s="56">
        <v>2025</v>
      </c>
      <c r="D18" s="48" t="s">
        <v>46</v>
      </c>
      <c r="E18" s="40">
        <v>5662</v>
      </c>
    </row>
    <row r="19" spans="1:5" ht="20.100000000000001" customHeight="1" x14ac:dyDescent="0.2">
      <c r="A19" s="46" t="s">
        <v>39</v>
      </c>
      <c r="B19" s="47">
        <v>45809</v>
      </c>
      <c r="C19" s="56">
        <v>2025</v>
      </c>
      <c r="D19" s="48" t="s">
        <v>47</v>
      </c>
      <c r="E19" s="40">
        <v>3943</v>
      </c>
    </row>
    <row r="20" spans="1:5" ht="20.100000000000001" customHeight="1" x14ac:dyDescent="0.2">
      <c r="A20" s="46" t="s">
        <v>39</v>
      </c>
      <c r="B20" s="47">
        <v>45839</v>
      </c>
      <c r="C20" s="56">
        <v>2025</v>
      </c>
      <c r="D20" s="48" t="s">
        <v>54</v>
      </c>
      <c r="E20" s="40">
        <v>4367</v>
      </c>
    </row>
    <row r="21" spans="1:5" ht="20.100000000000001" customHeight="1" x14ac:dyDescent="0.2">
      <c r="A21" s="46" t="s">
        <v>39</v>
      </c>
      <c r="B21" s="47">
        <v>45870</v>
      </c>
      <c r="C21" s="56">
        <v>2025</v>
      </c>
      <c r="D21" s="48" t="s">
        <v>48</v>
      </c>
      <c r="E21" s="40">
        <v>3866</v>
      </c>
    </row>
    <row r="22" spans="1:5" ht="20.100000000000001" customHeight="1" x14ac:dyDescent="0.2">
      <c r="A22" s="46" t="s">
        <v>39</v>
      </c>
      <c r="B22" s="47">
        <v>45901</v>
      </c>
      <c r="C22" s="56">
        <v>2025</v>
      </c>
      <c r="D22" s="48" t="s">
        <v>55</v>
      </c>
      <c r="E22" s="40">
        <v>10765</v>
      </c>
    </row>
    <row r="23" spans="1:5" ht="20.100000000000001" customHeight="1" x14ac:dyDescent="0.2">
      <c r="A23" s="46" t="s">
        <v>39</v>
      </c>
      <c r="B23" s="47">
        <v>45931</v>
      </c>
      <c r="C23" s="56">
        <v>2025</v>
      </c>
      <c r="D23" s="48" t="s">
        <v>56</v>
      </c>
      <c r="E23" s="40">
        <v>8073</v>
      </c>
    </row>
    <row r="24" spans="1:5" ht="20.100000000000001" customHeight="1" x14ac:dyDescent="0.2">
      <c r="A24" s="46" t="s">
        <v>39</v>
      </c>
      <c r="B24" s="47">
        <v>45962</v>
      </c>
      <c r="C24" s="56">
        <v>2025</v>
      </c>
      <c r="D24" s="48" t="s">
        <v>57</v>
      </c>
      <c r="E24" s="40">
        <v>5748</v>
      </c>
    </row>
    <row r="25" spans="1:5" ht="20.100000000000001" customHeight="1" x14ac:dyDescent="0.2">
      <c r="A25" s="46" t="s">
        <v>39</v>
      </c>
      <c r="B25" s="47">
        <v>45992</v>
      </c>
      <c r="C25" s="56">
        <v>2025</v>
      </c>
      <c r="D25" s="48" t="s">
        <v>58</v>
      </c>
      <c r="E25" s="40">
        <v>3919</v>
      </c>
    </row>
    <row r="26" spans="1:5" ht="20.100000000000001" customHeight="1" x14ac:dyDescent="0.2">
      <c r="A26" s="46" t="s">
        <v>39</v>
      </c>
      <c r="B26" s="52">
        <v>46023</v>
      </c>
      <c r="C26" s="57">
        <v>2026</v>
      </c>
      <c r="D26" s="53" t="s">
        <v>51</v>
      </c>
      <c r="E26" s="54">
        <v>5252</v>
      </c>
    </row>
    <row r="27" spans="1:5" ht="20.100000000000001" customHeight="1" x14ac:dyDescent="0.2">
      <c r="A27" s="46" t="s">
        <v>39</v>
      </c>
      <c r="B27" s="18">
        <v>46054</v>
      </c>
      <c r="C27" s="58">
        <v>2026</v>
      </c>
      <c r="D27" s="21" t="s">
        <v>52</v>
      </c>
      <c r="E27" s="55">
        <v>7084</v>
      </c>
    </row>
    <row r="28" spans="1:5" ht="20.100000000000001" customHeight="1" x14ac:dyDescent="0.2">
      <c r="A28" s="46" t="s">
        <v>39</v>
      </c>
      <c r="B28" s="52">
        <v>46082</v>
      </c>
      <c r="C28" s="57">
        <v>2026</v>
      </c>
      <c r="D28" s="53" t="s">
        <v>45</v>
      </c>
      <c r="E28" s="54">
        <v>7262</v>
      </c>
    </row>
    <row r="29" spans="1:5" ht="20.100000000000001" customHeight="1" x14ac:dyDescent="0.2">
      <c r="A29" s="46" t="s">
        <v>39</v>
      </c>
      <c r="B29" s="18">
        <v>46113</v>
      </c>
      <c r="C29" s="58">
        <v>2026</v>
      </c>
      <c r="D29" s="21" t="s">
        <v>53</v>
      </c>
      <c r="E29" s="55">
        <v>5243</v>
      </c>
    </row>
    <row r="30" spans="1:5" ht="20.100000000000001" customHeight="1" x14ac:dyDescent="0.2">
      <c r="A30" s="46" t="s">
        <v>39</v>
      </c>
      <c r="B30" s="52">
        <v>46143</v>
      </c>
      <c r="C30" s="57">
        <v>2026</v>
      </c>
      <c r="D30" s="53" t="s">
        <v>46</v>
      </c>
      <c r="E30" s="54">
        <v>4215</v>
      </c>
    </row>
    <row r="31" spans="1:5" ht="20.100000000000001" customHeight="1" x14ac:dyDescent="0.2">
      <c r="A31" s="46" t="s">
        <v>39</v>
      </c>
      <c r="B31" s="18">
        <v>46174</v>
      </c>
      <c r="C31" s="58">
        <v>2026</v>
      </c>
      <c r="D31" s="21" t="s">
        <v>47</v>
      </c>
      <c r="E31" s="55">
        <v>3141</v>
      </c>
    </row>
    <row r="32" spans="1:5" ht="20.100000000000001" customHeight="1" x14ac:dyDescent="0.2">
      <c r="A32" s="46" t="s">
        <v>39</v>
      </c>
      <c r="B32" s="52">
        <v>46204</v>
      </c>
      <c r="C32" s="57">
        <v>2026</v>
      </c>
      <c r="D32" s="53" t="s">
        <v>54</v>
      </c>
      <c r="E32" s="54">
        <v>1639</v>
      </c>
    </row>
    <row r="33" spans="1:5" ht="20.100000000000001" customHeight="1" x14ac:dyDescent="0.2">
      <c r="A33" s="46" t="s">
        <v>39</v>
      </c>
      <c r="B33" s="18">
        <v>46235</v>
      </c>
      <c r="C33" s="58">
        <v>2026</v>
      </c>
      <c r="D33" s="21" t="s">
        <v>48</v>
      </c>
      <c r="E33" s="55"/>
    </row>
    <row r="34" spans="1:5" ht="20.100000000000001" customHeight="1" x14ac:dyDescent="0.2">
      <c r="A34" s="46" t="s">
        <v>39</v>
      </c>
      <c r="B34" s="52">
        <v>46266</v>
      </c>
      <c r="C34" s="57">
        <v>2026</v>
      </c>
      <c r="D34" s="53" t="s">
        <v>55</v>
      </c>
      <c r="E34" s="54"/>
    </row>
    <row r="35" spans="1:5" ht="20.100000000000001" customHeight="1" x14ac:dyDescent="0.2">
      <c r="A35" s="46" t="s">
        <v>39</v>
      </c>
      <c r="B35" s="18">
        <v>46296</v>
      </c>
      <c r="C35" s="58">
        <v>2026</v>
      </c>
      <c r="D35" s="21" t="s">
        <v>56</v>
      </c>
      <c r="E35" s="55"/>
    </row>
    <row r="36" spans="1:5" ht="20.100000000000001" customHeight="1" x14ac:dyDescent="0.2">
      <c r="A36" s="46" t="s">
        <v>39</v>
      </c>
      <c r="B36" s="52">
        <v>46327</v>
      </c>
      <c r="C36" s="57">
        <v>2026</v>
      </c>
      <c r="D36" s="53" t="s">
        <v>57</v>
      </c>
      <c r="E36" s="54"/>
    </row>
    <row r="37" spans="1:5" ht="20.100000000000001" customHeight="1" x14ac:dyDescent="0.2">
      <c r="A37" s="49" t="s">
        <v>39</v>
      </c>
      <c r="B37" s="18">
        <v>46357</v>
      </c>
      <c r="C37" s="58">
        <v>2026</v>
      </c>
      <c r="D37" s="21" t="s">
        <v>58</v>
      </c>
      <c r="E37" s="55"/>
    </row>
  </sheetData>
  <phoneticPr fontId="6" type="noConversion"/>
  <pageMargins left="0.7" right="0.7" top="0.75" bottom="0.75" header="0.3" footer="0.3"/>
  <drawing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8</vt:i4>
      </vt:variant>
    </vt:vector>
  </HeadingPairs>
  <TitlesOfParts>
    <vt:vector size="8" baseType="lpstr">
      <vt:lpstr>USE_010_2026</vt:lpstr>
      <vt:lpstr>USE_010_2025</vt:lpstr>
      <vt:lpstr>USE_010_2024</vt:lpstr>
      <vt:lpstr>DEMO &gt;&gt;</vt:lpstr>
      <vt:lpstr>Etape 1</vt:lpstr>
      <vt:lpstr>Etapes 2 et 3</vt:lpstr>
      <vt:lpstr>Etape 4</vt:lpstr>
      <vt:lpstr>Etape 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Geneviève Agnès Guex</dc:creator>
  <cp:lastModifiedBy>Geneviève Agnès Guex</cp:lastModifiedBy>
  <dcterms:created xsi:type="dcterms:W3CDTF">2026-09-29T05:22:18Z</dcterms:created>
  <dcterms:modified xsi:type="dcterms:W3CDTF">2026-09-29T14:46:14Z</dcterms:modified>
</cp:coreProperties>
</file>