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pflch-my.sharepoint.com/personal/genevieve_guex_epfl_ch/Documents/Documents/SISB_Presentations/SISB-Apero-Slidev/public/assets/files/"/>
    </mc:Choice>
  </mc:AlternateContent>
  <xr:revisionPtr revIDLastSave="571" documentId="8_{D825BCA8-78DA-496A-9FDB-1D07E1398520}" xr6:coauthVersionLast="47" xr6:coauthVersionMax="47" xr10:uidLastSave="{F21624EE-3DB2-4957-A35E-7FD82DE7DB68}"/>
  <bookViews>
    <workbookView xWindow="-120" yWindow="-120" windowWidth="51840" windowHeight="21120" activeTab="7" xr2:uid="{8AE9B5FF-3248-49A6-BDC7-A12E71D01EE7}"/>
  </bookViews>
  <sheets>
    <sheet name="Entrées" sheetId="2" r:id="rId1"/>
    <sheet name="SISB_Data_2026" sheetId="10" r:id="rId2"/>
    <sheet name="SISB_Data_Stats_2026" sheetId="1" r:id="rId3"/>
    <sheet name="&gt;&gt; Fichier final" sheetId="5" r:id="rId4"/>
    <sheet name="SISB_Data_Stats_Formules" sheetId="8" r:id="rId5"/>
    <sheet name="SISB_Data_Viz" sheetId="9" r:id="rId6"/>
    <sheet name="&gt;&gt; Guides" sheetId="3" r:id="rId7"/>
    <sheet name="Theme EPFL" sheetId="7" r:id="rId8"/>
    <sheet name="Références" sheetId="11" r:id="rId9"/>
  </sheets>
  <externalReferences>
    <externalReference r:id="rId10"/>
  </externalReferences>
  <definedNames>
    <definedName name="DateDebut" localSheetId="4">SISB_Data_Stats_Formules!$C$11</definedName>
    <definedName name="DateDebut">[1]SISB_Data_Stats_Formules!$C$11</definedName>
    <definedName name="DateFin">SISB_Data_Stats_Formules!$C$12</definedName>
    <definedName name="Dates" localSheetId="4">#REF!</definedName>
    <definedName name="Dates">[1]SISB_Data_Stats_Formules!$C$5:$BSB$5</definedName>
    <definedName name="Emprunts" localSheetId="4">#REF!</definedName>
    <definedName name="Emprunts">[1]SISB_Data_Stats_Formules!$C$7:$BSB$7</definedName>
    <definedName name="JourMaxPrets">SISB_Data_Stats_Formules!$C$34</definedName>
    <definedName name="JourMinEntrees">SISB_Data_Stats_Formules!$C$38</definedName>
    <definedName name="JourMinPrets">SISB_Data_Stats_Formules!$C$41</definedName>
    <definedName name="Jours" localSheetId="4">#REF!</definedName>
    <definedName name="Jours">[1]SISB_Data_Stats_Formules!$C$5:$BSB$5</definedName>
    <definedName name="MaxEmprunts" localSheetId="4">#REF!</definedName>
    <definedName name="MaxEmprunts">[1]SISB_Data_Stats_Formules!$C$29</definedName>
    <definedName name="MaxEntrees">SISB_Data_Stats_Formules!$C$30</definedName>
    <definedName name="MaxPrets">SISB_Data_Stats_Formules!$C$33</definedName>
    <definedName name="MaxVisiteurs" localSheetId="4">#REF!</definedName>
    <definedName name="MaxVisiteurs">[1]SISB_Data_Stats_Formules!$C$26</definedName>
    <definedName name="MinEmprunts" localSheetId="4">#REF!</definedName>
    <definedName name="MinEmprunts">[1]SISB_Data_Stats_Formules!$C$36</definedName>
    <definedName name="MinEntrées">SISB_Data_Stats_Formules!$C$37</definedName>
    <definedName name="MinPrets">SISB_Data_Stats_Formules!$C$40</definedName>
    <definedName name="MinVisiteurs" localSheetId="4">#REF!</definedName>
    <definedName name="MinVisiteurs">[1]SISB_Data_Stats_Formules!$C$33</definedName>
    <definedName name="MoyEntrees">SISB_Data_Stats_Formules!$C$22</definedName>
    <definedName name="MoyPrets">SISB_Data_Stats_Formules!$C$23</definedName>
    <definedName name="NbJours" localSheetId="4">#REF!</definedName>
    <definedName name="NbJours">[1]SISB_Data_Stats_Formules!$C$14</definedName>
    <definedName name="NombreJours">SISB_Data_Stats_Formules!$C$14</definedName>
    <definedName name="PlageDates">SISB_Data_Stats_Formules!$C$5:$EN$5</definedName>
    <definedName name="PlageEntrees">SISB_Data_Stats_Formules!$C$6:$EN$6</definedName>
    <definedName name="PlagePrets">SISB_Data_Stats_Formules!$C$7:$EN$7</definedName>
    <definedName name="TotalEntrées">SISB_Data_Stats_Formules!$C$18</definedName>
    <definedName name="TotalPrets">SISB_Data_Stats_Formules!$C$19</definedName>
    <definedName name="Visiteurs" localSheetId="4">#REF!</definedName>
    <definedName name="Visiteurs">[1]SISB_Data_Stats_Formules!$C$6:$BSB$6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5" i="8" l="1"/>
  <c r="C44" i="8"/>
  <c r="C40" i="8"/>
  <c r="C37" i="8"/>
  <c r="C33" i="8"/>
  <c r="C30" i="8"/>
  <c r="C27" i="8"/>
  <c r="C26" i="8"/>
  <c r="C23" i="8"/>
  <c r="C22" i="8"/>
  <c r="C14" i="8"/>
  <c r="C5" i="8" s="1" a="1"/>
  <c r="C19" i="8"/>
  <c r="C18" i="8"/>
  <c r="E38" i="8"/>
  <c r="E44" i="8"/>
  <c r="E27" i="8"/>
  <c r="E37" i="8"/>
  <c r="E33" i="8"/>
  <c r="E22" i="8"/>
  <c r="E12" i="8"/>
  <c r="E31" i="8"/>
  <c r="E23" i="8"/>
  <c r="E14" i="8"/>
  <c r="E45" i="8"/>
  <c r="E30" i="8"/>
  <c r="E40" i="8"/>
  <c r="E26" i="8"/>
  <c r="E18" i="8"/>
  <c r="E19" i="8"/>
  <c r="G3" i="8"/>
  <c r="E41" i="8"/>
  <c r="E34" i="8"/>
  <c r="C41" i="8" l="1"/>
  <c r="C38" i="8"/>
  <c r="C12" i="8"/>
  <c r="C31" i="8"/>
  <c r="C3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<sst xmlns="http://schemas.openxmlformats.org/spreadsheetml/2006/main" count="131" uniqueCount="76">
  <si>
    <t>Jour</t>
  </si>
  <si>
    <t>Entrées physiques</t>
  </si>
  <si>
    <t>Prêts physiques</t>
  </si>
  <si>
    <t>Début du comptage</t>
  </si>
  <si>
    <t>Fin du comptage</t>
  </si>
  <si>
    <t>Nombre de jours contrôlés</t>
  </si>
  <si>
    <t>Nombre total:</t>
  </si>
  <si>
    <t>Entrées</t>
  </si>
  <si>
    <t>Prêts</t>
  </si>
  <si>
    <t>Moyenne par jour:</t>
  </si>
  <si>
    <t>Valeur médiane:</t>
  </si>
  <si>
    <t>Max:</t>
  </si>
  <si>
    <t>Nombre max d'entrées sur une journée</t>
  </si>
  <si>
    <t>Jour avec le plus d'entrées</t>
  </si>
  <si>
    <t>Nombre max de prêts sur une journée</t>
  </si>
  <si>
    <t>Jour avec le plus de prêts</t>
  </si>
  <si>
    <t>Min:</t>
  </si>
  <si>
    <t>Nombre min d'entrées sur une journée</t>
  </si>
  <si>
    <t>Jour avec le moins d'entrées</t>
  </si>
  <si>
    <t>Nombre min de prêts sur une journée</t>
  </si>
  <si>
    <t>Jour avec le moins de prêts</t>
  </si>
  <si>
    <t>Nombre d'entrées et de prêts physiques à la Bibliothèque</t>
  </si>
  <si>
    <t>par jour; année 2026</t>
  </si>
  <si>
    <t>Nombre total</t>
  </si>
  <si>
    <t>Moyenne par jour</t>
  </si>
  <si>
    <t>Valeur médiane</t>
  </si>
  <si>
    <t>Max</t>
  </si>
  <si>
    <t>Min</t>
  </si>
  <si>
    <t>Jours</t>
  </si>
  <si>
    <t>Etendue</t>
  </si>
  <si>
    <t>Etendue - entrées</t>
  </si>
  <si>
    <t>Etendue - prêts</t>
  </si>
  <si>
    <t>C:\Users\votrenom\AppData\Roaming\Microsoft\Templates\Document Themes</t>
  </si>
  <si>
    <t>perle</t>
  </si>
  <si>
    <t>taupe</t>
  </si>
  <si>
    <t>rouge suisse</t>
  </si>
  <si>
    <t>groseille</t>
  </si>
  <si>
    <t>léman</t>
  </si>
  <si>
    <t>canard</t>
  </si>
  <si>
    <t>mont rose</t>
  </si>
  <si>
    <t>vert d'eau</t>
  </si>
  <si>
    <t>rose</t>
  </si>
  <si>
    <t>acier</t>
  </si>
  <si>
    <t>soufre</t>
  </si>
  <si>
    <t>carotte</t>
  </si>
  <si>
    <t>zinzolin</t>
  </si>
  <si>
    <t>chartreuse</t>
  </si>
  <si>
    <t>marron</t>
  </si>
  <si>
    <t>ardoise</t>
  </si>
  <si>
    <t>cac7c7</t>
  </si>
  <si>
    <t>413D3A</t>
  </si>
  <si>
    <t>FF0000</t>
  </si>
  <si>
    <t>b51f1f</t>
  </si>
  <si>
    <t>00a79f</t>
  </si>
  <si>
    <t>007480</t>
  </si>
  <si>
    <t>f39869</t>
  </si>
  <si>
    <t>C2DDB0</t>
  </si>
  <si>
    <t>ED6E9C</t>
  </si>
  <si>
    <t>4F8FCC</t>
  </si>
  <si>
    <t>FBEE66</t>
  </si>
  <si>
    <t xml:space="preserve"> EC6608</t>
  </si>
  <si>
    <t>5C2483</t>
  </si>
  <si>
    <t xml:space="preserve"> C8D300</t>
  </si>
  <si>
    <t>5B3428</t>
  </si>
  <si>
    <t>453A4C</t>
  </si>
  <si>
    <t xml:space="preserve">Original Tyrannosaurus by Alberto Cairo, 2016 </t>
  </si>
  <si>
    <t>Same Stats, Different Graphs</t>
  </si>
  <si>
    <t>Download dataset</t>
  </si>
  <si>
    <t>The Datasaurus Dozen Dataset</t>
  </si>
  <si>
    <t>C:\Users\[NOM UTILISATEUR]AppData\Roaming\Microsoft\Templates\Document Themes</t>
  </si>
  <si>
    <t>Thèmes pour Excel</t>
  </si>
  <si>
    <t>Télécharger les thèmes</t>
  </si>
  <si>
    <t>Viridis</t>
  </si>
  <si>
    <t>EPFL</t>
  </si>
  <si>
    <t>Viridis Mako</t>
  </si>
  <si>
    <t>Viridis Rocket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</si>
</sst>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6" x14ac:knownFonts="1">
    <font>
      <sz val="9"/>
      <color theme="1"/>
      <name val="Aptos"/>
      <family val="2"/>
    </font>
    <font>
      <sz val="9"/>
      <color theme="1"/>
      <name val="Aptos"/>
      <family val="2"/>
    </font>
    <font>
      <b/>
      <sz val="9"/>
      <color theme="1"/>
      <name val="Aptos"/>
      <family val="2"/>
    </font>
    <font>
      <b/>
      <sz val="14"/>
      <color theme="1"/>
      <name val="Aptos"/>
      <family val="2"/>
    </font>
    <font>
      <sz val="9"/>
      <name val="Aptos"/>
      <family val="2"/>
    </font>
    <font>
      <sz val="9"/>
      <color theme="0"/>
      <name val="Aptos"/>
      <family val="2"/>
    </font>
    <font>
      <b/>
      <sz val="12"/>
      <color theme="1"/>
      <name val="Aptos"/>
      <family val="2"/>
    </font>
    <font>
      <sz val="10"/>
      <name val="Aptos"/>
      <family val="2"/>
    </font>
    <font>
      <sz val="11"/>
      <name val="Aptos"/>
      <family val="2"/>
    </font>
    <font>
      <i/>
      <sz val="9"/>
      <color theme="1"/>
      <name val="Aptos"/>
      <family val="2"/>
    </font>
    <font>
      <b/>
      <sz val="9"/>
      <name val="Aptos"/>
      <family val="2"/>
    </font>
    <font>
      <sz val="9"/>
      <color theme="7"/>
      <name val="Aptos"/>
      <family val="2"/>
    </font>
    <font>
      <b/>
      <sz val="9"/>
      <color theme="7"/>
      <name val="Aptos"/>
      <family val="2"/>
    </font>
    <font>
      <b/>
      <sz val="14"/>
      <name val="Aptos"/>
      <family val="2"/>
    </font>
    <font>
      <u/>
      <sz val="9"/>
      <color theme="10"/>
      <name val="Aptos"/>
      <family val="2"/>
    </font>
    <font>
      <sz val="16"/>
      <color theme="1"/>
      <name val="Aptos"/>
      <family val="2"/>
    </font>
  </fonts>
  <fills count="2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D6E9C"/>
        <bgColor indexed="64"/>
      </patternFill>
    </fill>
    <fill>
      <patternFill patternType="solid">
        <fgColor rgb="FFEC6608"/>
        <bgColor indexed="64"/>
      </patternFill>
    </fill>
    <fill>
      <patternFill patternType="solid">
        <fgColor rgb="FF5B3428"/>
        <bgColor indexed="64"/>
      </patternFill>
    </fill>
    <fill>
      <patternFill patternType="solid">
        <fgColor rgb="FF4F8FCC"/>
        <bgColor indexed="64"/>
      </patternFill>
    </fill>
    <fill>
      <patternFill patternType="solid">
        <fgColor rgb="FF5C2483"/>
        <bgColor indexed="64"/>
      </patternFill>
    </fill>
    <fill>
      <patternFill patternType="solid">
        <fgColor rgb="FF453A4C"/>
        <bgColor indexed="64"/>
      </patternFill>
    </fill>
    <fill>
      <patternFill patternType="solid">
        <fgColor rgb="FFFBEE66"/>
        <bgColor indexed="64"/>
      </patternFill>
    </fill>
    <fill>
      <patternFill patternType="solid">
        <fgColor rgb="FFC8D300"/>
        <bgColor indexed="64"/>
      </patternFill>
    </fill>
    <fill>
      <patternFill patternType="solid">
        <fgColor rgb="FF413D3A"/>
        <bgColor indexed="64"/>
      </patternFill>
    </fill>
    <fill>
      <patternFill patternType="solid">
        <fgColor rgb="FFC2DDB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78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1" fontId="0" fillId="0" borderId="2" xfId="0" applyNumberFormat="1" applyBorder="1"/>
    <xf numFmtId="1" fontId="0" fillId="0" borderId="0" xfId="0" applyNumberFormat="1"/>
    <xf numFmtId="0" fontId="4" fillId="0" borderId="3" xfId="0" applyFont="1" applyBorder="1"/>
    <xf numFmtId="1" fontId="4" fillId="0" borderId="3" xfId="0" applyNumberFormat="1" applyFont="1" applyBorder="1"/>
    <xf numFmtId="49" fontId="0" fillId="0" borderId="0" xfId="0" applyNumberFormat="1"/>
    <xf numFmtId="49" fontId="5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49" fontId="7" fillId="8" borderId="0" xfId="0" applyNumberFormat="1" applyFont="1" applyFill="1" applyAlignment="1">
      <alignment horizontal="center" vertical="center"/>
    </xf>
    <xf numFmtId="49" fontId="7" fillId="11" borderId="0" xfId="0" applyNumberFormat="1" applyFont="1" applyFill="1" applyAlignment="1">
      <alignment horizontal="center" vertical="center"/>
    </xf>
    <xf numFmtId="49" fontId="7" fillId="16" borderId="0" xfId="0" applyNumberFormat="1" applyFont="1" applyFill="1" applyAlignment="1">
      <alignment horizontal="center" vertical="center"/>
    </xf>
    <xf numFmtId="49" fontId="7" fillId="3" borderId="0" xfId="0" applyNumberFormat="1" applyFont="1" applyFill="1" applyAlignment="1">
      <alignment horizontal="center" vertical="center"/>
    </xf>
    <xf numFmtId="49" fontId="7" fillId="4" borderId="0" xfId="0" applyNumberFormat="1" applyFont="1" applyFill="1" applyAlignment="1">
      <alignment horizontal="center" vertical="center"/>
    </xf>
    <xf numFmtId="49" fontId="7" fillId="5" borderId="0" xfId="0" applyNumberFormat="1" applyFont="1" applyFill="1" applyAlignment="1">
      <alignment horizontal="center" vertical="center"/>
    </xf>
    <xf numFmtId="49" fontId="7" fillId="6" borderId="0" xfId="0" applyNumberFormat="1" applyFont="1" applyFill="1" applyAlignment="1">
      <alignment horizontal="center" vertical="center"/>
    </xf>
    <xf numFmtId="49" fontId="7" fillId="7" borderId="0" xfId="0" applyNumberFormat="1" applyFont="1" applyFill="1" applyAlignment="1">
      <alignment horizontal="center" vertical="center"/>
    </xf>
    <xf numFmtId="49" fontId="7" fillId="17" borderId="0" xfId="0" applyNumberFormat="1" applyFont="1" applyFill="1" applyAlignment="1">
      <alignment horizontal="center" vertical="center"/>
    </xf>
    <xf numFmtId="49" fontId="7" fillId="14" borderId="0" xfId="0" applyNumberFormat="1" applyFont="1" applyFill="1" applyAlignment="1">
      <alignment horizontal="center" vertical="center"/>
    </xf>
    <xf numFmtId="49" fontId="7" fillId="9" borderId="0" xfId="0" applyNumberFormat="1" applyFont="1" applyFill="1" applyAlignment="1">
      <alignment horizontal="center" vertical="center"/>
    </xf>
    <xf numFmtId="49" fontId="7" fillId="12" borderId="0" xfId="0" applyNumberFormat="1" applyFont="1" applyFill="1" applyAlignment="1">
      <alignment horizontal="center" vertical="center"/>
    </xf>
    <xf numFmtId="49" fontId="7" fillId="15" borderId="0" xfId="0" applyNumberFormat="1" applyFont="1" applyFill="1" applyAlignment="1">
      <alignment horizontal="center" vertical="center"/>
    </xf>
    <xf numFmtId="49" fontId="7" fillId="10" borderId="0" xfId="0" applyNumberFormat="1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9" fillId="0" borderId="0" xfId="0" applyFont="1"/>
    <xf numFmtId="14" fontId="2" fillId="0" borderId="1" xfId="0" applyNumberFormat="1" applyFont="1" applyBorder="1"/>
    <xf numFmtId="0" fontId="0" fillId="0" borderId="2" xfId="0" applyBorder="1"/>
    <xf numFmtId="0" fontId="0" fillId="0" borderId="4" xfId="0" applyBorder="1"/>
    <xf numFmtId="0" fontId="0" fillId="0" borderId="1" xfId="0" applyBorder="1"/>
    <xf numFmtId="14" fontId="10" fillId="0" borderId="0" xfId="0" applyNumberFormat="1" applyFont="1"/>
    <xf numFmtId="14" fontId="11" fillId="18" borderId="0" xfId="0" applyNumberFormat="1" applyFont="1" applyFill="1"/>
    <xf numFmtId="0" fontId="11" fillId="0" borderId="0" xfId="0" applyFont="1"/>
    <xf numFmtId="0" fontId="11" fillId="18" borderId="0" xfId="0" applyFont="1" applyFill="1"/>
    <xf numFmtId="164" fontId="11" fillId="18" borderId="2" xfId="1" applyNumberFormat="1" applyFont="1" applyFill="1" applyBorder="1"/>
    <xf numFmtId="1" fontId="11" fillId="18" borderId="2" xfId="0" applyNumberFormat="1" applyFont="1" applyFill="1" applyBorder="1"/>
    <xf numFmtId="1" fontId="11" fillId="18" borderId="4" xfId="0" applyNumberFormat="1" applyFont="1" applyFill="1" applyBorder="1"/>
    <xf numFmtId="14" fontId="11" fillId="18" borderId="2" xfId="0" applyNumberFormat="1" applyFont="1" applyFill="1" applyBorder="1"/>
    <xf numFmtId="14" fontId="11" fillId="0" borderId="0" xfId="0" applyNumberFormat="1" applyFont="1"/>
    <xf numFmtId="14" fontId="11" fillId="18" borderId="1" xfId="0" applyNumberFormat="1" applyFont="1" applyFill="1" applyBorder="1"/>
    <xf numFmtId="14" fontId="12" fillId="0" borderId="1" xfId="0" applyNumberFormat="1" applyFont="1" applyBorder="1"/>
    <xf numFmtId="1" fontId="11" fillId="0" borderId="0" xfId="0" applyNumberFormat="1" applyFont="1"/>
    <xf numFmtId="14" fontId="4" fillId="18" borderId="0" xfId="0" applyNumberFormat="1" applyFont="1" applyFill="1"/>
    <xf numFmtId="0" fontId="4" fillId="0" borderId="0" xfId="0" applyFont="1"/>
    <xf numFmtId="0" fontId="4" fillId="18" borderId="0" xfId="0" applyFont="1" applyFill="1"/>
    <xf numFmtId="164" fontId="4" fillId="18" borderId="2" xfId="1" applyNumberFormat="1" applyFont="1" applyFill="1" applyBorder="1"/>
    <xf numFmtId="1" fontId="4" fillId="18" borderId="2" xfId="0" applyNumberFormat="1" applyFont="1" applyFill="1" applyBorder="1"/>
    <xf numFmtId="1" fontId="4" fillId="0" borderId="0" xfId="0" applyNumberFormat="1" applyFont="1"/>
    <xf numFmtId="1" fontId="4" fillId="18" borderId="4" xfId="0" applyNumberFormat="1" applyFont="1" applyFill="1" applyBorder="1"/>
    <xf numFmtId="14" fontId="4" fillId="18" borderId="2" xfId="0" applyNumberFormat="1" applyFont="1" applyFill="1" applyBorder="1"/>
    <xf numFmtId="14" fontId="4" fillId="0" borderId="0" xfId="0" applyNumberFormat="1" applyFont="1"/>
    <xf numFmtId="14" fontId="4" fillId="18" borderId="1" xfId="0" applyNumberFormat="1" applyFont="1" applyFill="1" applyBorder="1"/>
    <xf numFmtId="14" fontId="4" fillId="0" borderId="3" xfId="0" applyNumberFormat="1" applyFont="1" applyBorder="1"/>
    <xf numFmtId="0" fontId="10" fillId="19" borderId="3" xfId="0" applyFont="1" applyFill="1" applyBorder="1"/>
    <xf numFmtId="0" fontId="4" fillId="19" borderId="3" xfId="0" applyFont="1" applyFill="1" applyBorder="1"/>
    <xf numFmtId="0" fontId="13" fillId="0" borderId="0" xfId="0" applyFont="1"/>
    <xf numFmtId="0" fontId="10" fillId="0" borderId="1" xfId="0" applyFont="1" applyBorder="1"/>
    <xf numFmtId="14" fontId="10" fillId="0" borderId="1" xfId="0" applyNumberFormat="1" applyFont="1" applyBorder="1"/>
    <xf numFmtId="0" fontId="10" fillId="0" borderId="0" xfId="0" applyFont="1"/>
    <xf numFmtId="0" fontId="10" fillId="0" borderId="2" xfId="0" applyFont="1" applyBorder="1"/>
    <xf numFmtId="1" fontId="4" fillId="0" borderId="2" xfId="0" applyNumberFormat="1" applyFont="1" applyBorder="1"/>
    <xf numFmtId="0" fontId="4" fillId="0" borderId="2" xfId="0" applyFont="1" applyBorder="1"/>
    <xf numFmtId="0" fontId="4" fillId="0" borderId="4" xfId="0" applyFont="1" applyBorder="1"/>
    <xf numFmtId="0" fontId="4" fillId="0" borderId="1" xfId="0" applyFont="1" applyBorder="1"/>
    <xf numFmtId="164" fontId="4" fillId="0" borderId="0" xfId="1" applyNumberFormat="1" applyFont="1" applyFill="1" applyBorder="1"/>
    <xf numFmtId="0" fontId="0" fillId="0" borderId="0" xfId="0" applyBorder="1"/>
    <xf numFmtId="0" fontId="14" fillId="0" borderId="0" xfId="2"/>
    <xf numFmtId="0" fontId="0" fillId="20" borderId="0" xfId="0" applyFill="1"/>
    <xf numFmtId="49" fontId="15" fillId="0" borderId="0" xfId="0" applyNumberFormat="1" applyFont="1"/>
  </cellXfs>
  <cellStyles count="3">
    <cellStyle name="Lien hypertexte" xfId="2" builtinId="8"/>
    <cellStyle name="Milliers" xfId="1" builtinId="3"/>
    <cellStyle name="Normal" xfId="0" builtinId="0"/>
  </cellStyles>
  <dxfs count="0"/>
  <tableStyles count="0" defaultTableStyle="TableStyleMedium2" defaultPivotStyle="PivotStyleLight16"/>
  <colors>
    <mruColors>
      <color rgb="FF99CCFF"/>
      <color rgb="FF3399FF"/>
      <color rgb="FFC2DD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315153119"/>
        <c:axId val="1238229711"/>
      </c:scatterChart>
      <c:valAx>
        <c:axId val="131515311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8229711"/>
        <c:crosses val="autoZero"/>
        <c:crossBetween val="midCat"/>
      </c:valAx>
      <c:valAx>
        <c:axId val="1238229711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5153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>
                <a:solidFill>
                  <a:schemeClr val="tx1">
                    <a:lumMod val="50000"/>
                  </a:schemeClr>
                </a:solidFill>
                <a:latin typeface="Aptos SemiBold" panose="020B0004020202020204" pitchFamily="34" charset="0"/>
              </a:rPr>
              <a:t>Evolution du nombre d'</a:t>
            </a:r>
            <a:r>
              <a:rPr lang="fr-CH">
                <a:solidFill>
                  <a:srgbClr val="FF0000"/>
                </a:solidFill>
                <a:latin typeface="Aptos SemiBold" panose="020B0004020202020204" pitchFamily="34" charset="0"/>
              </a:rPr>
              <a:t>entrées</a:t>
            </a:r>
            <a:r>
              <a:rPr lang="fr-CH">
                <a:solidFill>
                  <a:schemeClr val="tx1">
                    <a:lumMod val="50000"/>
                  </a:schemeClr>
                </a:solidFill>
                <a:latin typeface="Aptos SemiBold" panose="020B0004020202020204" pitchFamily="34" charset="0"/>
              </a:rPr>
              <a:t> et de </a:t>
            </a:r>
            <a:r>
              <a:rPr lang="fr-CH">
                <a:solidFill>
                  <a:schemeClr val="accent2"/>
                </a:solidFill>
                <a:latin typeface="Aptos SemiBold" panose="020B0004020202020204" pitchFamily="34" charset="0"/>
              </a:rPr>
              <a:t>prêts</a:t>
            </a:r>
            <a:r>
              <a:rPr lang="fr-CH">
                <a:solidFill>
                  <a:schemeClr val="tx1">
                    <a:lumMod val="50000"/>
                  </a:schemeClr>
                </a:solidFill>
                <a:latin typeface="Aptos SemiBold" panose="020B0004020202020204" pitchFamily="34" charset="0"/>
              </a:rPr>
              <a:t> physiques à la Bibliothèque</a:t>
            </a:r>
            <a:br>
              <a:rPr lang="fr-CH">
                <a:solidFill>
                  <a:schemeClr val="tx1">
                    <a:lumMod val="50000"/>
                  </a:schemeClr>
                </a:solidFill>
              </a:rPr>
            </a:br>
            <a:r>
              <a:rPr lang="fr-CH" sz="1000">
                <a:solidFill>
                  <a:schemeClr val="tx1">
                    <a:lumMod val="50000"/>
                  </a:schemeClr>
                </a:solidFill>
              </a:rPr>
              <a:t>01.01.2026..23.05.2026</a:t>
            </a:r>
          </a:p>
        </c:rich>
      </c:tx>
      <c:layout>
        <c:manualLayout>
          <c:xMode val="edge"/>
          <c:yMode val="edge"/>
          <c:x val="1.3275612318126734E-2"/>
          <c:y val="1.846251358642321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3558248953396143E-2"/>
          <c:y val="0.1588864705793637"/>
          <c:w val="0.92861554292224247"/>
          <c:h val="0.70346563444963095"/>
        </c:manualLayout>
      </c:layout>
      <c:lineChart>
        <c:grouping val="standard"/>
        <c:varyColors val="0"/>
        <c:ser>
          <c:idx val="4"/>
          <c:order val="0"/>
          <c:tx>
            <c:strRef>
              <c:f>SISB_Data_Stats_Formules!$B$6</c:f>
              <c:strCache>
                <c:ptCount val="1"/>
                <c:pt idx="0">
                  <c:v>Entrées physiques</c:v>
                </c:pt>
              </c:strCache>
            </c:strRef>
          </c:tx>
          <c:spPr>
            <a:ln w="22225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SISB_Data_Stats_Formules!$C$5:$EN$5</c:f>
              <c:numCache>
                <c:formatCode>m/d/yyyy</c:formatCode>
                <c:ptCount val="142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  <c:pt idx="90">
                  <c:v>46113</c:v>
                </c:pt>
                <c:pt idx="91">
                  <c:v>46114</c:v>
                </c:pt>
                <c:pt idx="92">
                  <c:v>46115</c:v>
                </c:pt>
                <c:pt idx="93">
                  <c:v>46116</c:v>
                </c:pt>
                <c:pt idx="94">
                  <c:v>46117</c:v>
                </c:pt>
                <c:pt idx="95">
                  <c:v>46118</c:v>
                </c:pt>
                <c:pt idx="96">
                  <c:v>46119</c:v>
                </c:pt>
                <c:pt idx="97">
                  <c:v>46120</c:v>
                </c:pt>
                <c:pt idx="98">
                  <c:v>46121</c:v>
                </c:pt>
                <c:pt idx="99">
                  <c:v>46122</c:v>
                </c:pt>
                <c:pt idx="100">
                  <c:v>46123</c:v>
                </c:pt>
                <c:pt idx="101">
                  <c:v>46124</c:v>
                </c:pt>
                <c:pt idx="102">
                  <c:v>46125</c:v>
                </c:pt>
                <c:pt idx="103">
                  <c:v>46126</c:v>
                </c:pt>
                <c:pt idx="104">
                  <c:v>46127</c:v>
                </c:pt>
                <c:pt idx="105">
                  <c:v>46128</c:v>
                </c:pt>
                <c:pt idx="106">
                  <c:v>46129</c:v>
                </c:pt>
                <c:pt idx="107">
                  <c:v>46130</c:v>
                </c:pt>
                <c:pt idx="108">
                  <c:v>46131</c:v>
                </c:pt>
                <c:pt idx="109">
                  <c:v>46132</c:v>
                </c:pt>
                <c:pt idx="110">
                  <c:v>46133</c:v>
                </c:pt>
                <c:pt idx="111">
                  <c:v>46134</c:v>
                </c:pt>
                <c:pt idx="112">
                  <c:v>46135</c:v>
                </c:pt>
                <c:pt idx="113">
                  <c:v>46136</c:v>
                </c:pt>
                <c:pt idx="114">
                  <c:v>46137</c:v>
                </c:pt>
                <c:pt idx="115">
                  <c:v>46138</c:v>
                </c:pt>
                <c:pt idx="116">
                  <c:v>46139</c:v>
                </c:pt>
                <c:pt idx="117">
                  <c:v>46140</c:v>
                </c:pt>
                <c:pt idx="118">
                  <c:v>46141</c:v>
                </c:pt>
                <c:pt idx="119">
                  <c:v>46142</c:v>
                </c:pt>
                <c:pt idx="120">
                  <c:v>46143</c:v>
                </c:pt>
                <c:pt idx="121">
                  <c:v>46144</c:v>
                </c:pt>
                <c:pt idx="122">
                  <c:v>46145</c:v>
                </c:pt>
                <c:pt idx="123">
                  <c:v>46146</c:v>
                </c:pt>
                <c:pt idx="124">
                  <c:v>46147</c:v>
                </c:pt>
                <c:pt idx="125">
                  <c:v>46148</c:v>
                </c:pt>
                <c:pt idx="126">
                  <c:v>46149</c:v>
                </c:pt>
                <c:pt idx="127">
                  <c:v>46150</c:v>
                </c:pt>
                <c:pt idx="128">
                  <c:v>46151</c:v>
                </c:pt>
                <c:pt idx="129">
                  <c:v>46152</c:v>
                </c:pt>
                <c:pt idx="130">
                  <c:v>46153</c:v>
                </c:pt>
                <c:pt idx="131">
                  <c:v>46154</c:v>
                </c:pt>
                <c:pt idx="132">
                  <c:v>46155</c:v>
                </c:pt>
                <c:pt idx="133">
                  <c:v>46156</c:v>
                </c:pt>
                <c:pt idx="134">
                  <c:v>46157</c:v>
                </c:pt>
                <c:pt idx="135">
                  <c:v>46158</c:v>
                </c:pt>
                <c:pt idx="136">
                  <c:v>46159</c:v>
                </c:pt>
                <c:pt idx="137">
                  <c:v>46160</c:v>
                </c:pt>
                <c:pt idx="138">
                  <c:v>46161</c:v>
                </c:pt>
                <c:pt idx="139">
                  <c:v>46162</c:v>
                </c:pt>
                <c:pt idx="140">
                  <c:v>46163</c:v>
                </c:pt>
                <c:pt idx="141">
                  <c:v>46164</c:v>
                </c:pt>
              </c:numCache>
            </c:numRef>
          </c:cat>
          <c:val>
            <c:numRef>
              <c:f>SISB_Data_Stats_Formules!$C$6:$EN$6</c:f>
              <c:numCache>
                <c:formatCode>0</c:formatCode>
                <c:ptCount val="142"/>
                <c:pt idx="0">
                  <c:v>553.846</c:v>
                </c:pt>
                <c:pt idx="1">
                  <c:v>515.38499999999999</c:v>
                </c:pt>
                <c:pt idx="2">
                  <c:v>461.53799999999995</c:v>
                </c:pt>
                <c:pt idx="3">
                  <c:v>428.20500000000004</c:v>
                </c:pt>
                <c:pt idx="4">
                  <c:v>407.69200000000001</c:v>
                </c:pt>
                <c:pt idx="5">
                  <c:v>387.17899999999997</c:v>
                </c:pt>
                <c:pt idx="6">
                  <c:v>356.40999999999997</c:v>
                </c:pt>
                <c:pt idx="7">
                  <c:v>330.76900000000001</c:v>
                </c:pt>
                <c:pt idx="8">
                  <c:v>289.74399999999997</c:v>
                </c:pt>
                <c:pt idx="9">
                  <c:v>261.53800000000001</c:v>
                </c:pt>
                <c:pt idx="10">
                  <c:v>230.76899999999998</c:v>
                </c:pt>
                <c:pt idx="11">
                  <c:v>223.077</c:v>
                </c:pt>
                <c:pt idx="12">
                  <c:v>223.077</c:v>
                </c:pt>
                <c:pt idx="13">
                  <c:v>233.33300000000003</c:v>
                </c:pt>
                <c:pt idx="14">
                  <c:v>258.97399999999999</c:v>
                </c:pt>
                <c:pt idx="15">
                  <c:v>294.87200000000001</c:v>
                </c:pt>
                <c:pt idx="16">
                  <c:v>328.20500000000004</c:v>
                </c:pt>
                <c:pt idx="17">
                  <c:v>353.846</c:v>
                </c:pt>
                <c:pt idx="18">
                  <c:v>402.56399999999996</c:v>
                </c:pt>
                <c:pt idx="19">
                  <c:v>441.02600000000001</c:v>
                </c:pt>
                <c:pt idx="20">
                  <c:v>466.66699999999997</c:v>
                </c:pt>
                <c:pt idx="21">
                  <c:v>500</c:v>
                </c:pt>
                <c:pt idx="22">
                  <c:v>530.76900000000001</c:v>
                </c:pt>
                <c:pt idx="23">
                  <c:v>566.66700000000003</c:v>
                </c:pt>
                <c:pt idx="24">
                  <c:v>592.30799999999999</c:v>
                </c:pt>
                <c:pt idx="25">
                  <c:v>612.82100000000003</c:v>
                </c:pt>
                <c:pt idx="26">
                  <c:v>615.38499999999999</c:v>
                </c:pt>
                <c:pt idx="27">
                  <c:v>617.94899999999996</c:v>
                </c:pt>
                <c:pt idx="28">
                  <c:v>574.35899999999992</c:v>
                </c:pt>
                <c:pt idx="29">
                  <c:v>548.71799999999996</c:v>
                </c:pt>
                <c:pt idx="30">
                  <c:v>525.64100000000008</c:v>
                </c:pt>
                <c:pt idx="31">
                  <c:v>482.05100000000004</c:v>
                </c:pt>
                <c:pt idx="32">
                  <c:v>494.87200000000001</c:v>
                </c:pt>
                <c:pt idx="33">
                  <c:v>510.25599999999997</c:v>
                </c:pt>
                <c:pt idx="34">
                  <c:v>453.846</c:v>
                </c:pt>
                <c:pt idx="35">
                  <c:v>428.20500000000004</c:v>
                </c:pt>
                <c:pt idx="36">
                  <c:v>387.17899999999997</c:v>
                </c:pt>
                <c:pt idx="37">
                  <c:v>351.28199999999998</c:v>
                </c:pt>
                <c:pt idx="38">
                  <c:v>325.64100000000002</c:v>
                </c:pt>
                <c:pt idx="39">
                  <c:v>300</c:v>
                </c:pt>
                <c:pt idx="40">
                  <c:v>335.89699999999999</c:v>
                </c:pt>
                <c:pt idx="41">
                  <c:v>366.66699999999997</c:v>
                </c:pt>
                <c:pt idx="42">
                  <c:v>382.05100000000004</c:v>
                </c:pt>
                <c:pt idx="43">
                  <c:v>297.43600000000004</c:v>
                </c:pt>
                <c:pt idx="44">
                  <c:v>297.43600000000004</c:v>
                </c:pt>
                <c:pt idx="45">
                  <c:v>300</c:v>
                </c:pt>
                <c:pt idx="46">
                  <c:v>320.51299999999998</c:v>
                </c:pt>
                <c:pt idx="47">
                  <c:v>358.97399999999999</c:v>
                </c:pt>
                <c:pt idx="48">
                  <c:v>410.25599999999997</c:v>
                </c:pt>
                <c:pt idx="49">
                  <c:v>441.02600000000001</c:v>
                </c:pt>
                <c:pt idx="50">
                  <c:v>471.79499999999996</c:v>
                </c:pt>
                <c:pt idx="51">
                  <c:v>494.87200000000001</c:v>
                </c:pt>
                <c:pt idx="52">
                  <c:v>515.38499999999999</c:v>
                </c:pt>
                <c:pt idx="53">
                  <c:v>535.89700000000005</c:v>
                </c:pt>
                <c:pt idx="54">
                  <c:v>551.28200000000004</c:v>
                </c:pt>
                <c:pt idx="55">
                  <c:v>566.66700000000003</c:v>
                </c:pt>
                <c:pt idx="56">
                  <c:v>592.30799999999999</c:v>
                </c:pt>
                <c:pt idx="57">
                  <c:v>623.077</c:v>
                </c:pt>
                <c:pt idx="58">
                  <c:v>648.71799999999996</c:v>
                </c:pt>
                <c:pt idx="59">
                  <c:v>679.48700000000008</c:v>
                </c:pt>
                <c:pt idx="60">
                  <c:v>705.12799999999993</c:v>
                </c:pt>
                <c:pt idx="61">
                  <c:v>715.38499999999999</c:v>
                </c:pt>
                <c:pt idx="62">
                  <c:v>715.38499999999999</c:v>
                </c:pt>
                <c:pt idx="63">
                  <c:v>694.87200000000007</c:v>
                </c:pt>
                <c:pt idx="64">
                  <c:v>469.23099999999999</c:v>
                </c:pt>
                <c:pt idx="65">
                  <c:v>482.05100000000004</c:v>
                </c:pt>
                <c:pt idx="66">
                  <c:v>500</c:v>
                </c:pt>
                <c:pt idx="67">
                  <c:v>530.76900000000001</c:v>
                </c:pt>
                <c:pt idx="68">
                  <c:v>553.846</c:v>
                </c:pt>
                <c:pt idx="69">
                  <c:v>566.66700000000003</c:v>
                </c:pt>
                <c:pt idx="70">
                  <c:v>561.53800000000001</c:v>
                </c:pt>
                <c:pt idx="71">
                  <c:v>538.46199999999999</c:v>
                </c:pt>
                <c:pt idx="72">
                  <c:v>512.82100000000003</c:v>
                </c:pt>
                <c:pt idx="73">
                  <c:v>500</c:v>
                </c:pt>
                <c:pt idx="74">
                  <c:v>479.48700000000002</c:v>
                </c:pt>
                <c:pt idx="75">
                  <c:v>297.43600000000004</c:v>
                </c:pt>
                <c:pt idx="76">
                  <c:v>297.43600000000004</c:v>
                </c:pt>
                <c:pt idx="77">
                  <c:v>312.82100000000003</c:v>
                </c:pt>
                <c:pt idx="78">
                  <c:v>579.48700000000008</c:v>
                </c:pt>
                <c:pt idx="79">
                  <c:v>617.94899999999996</c:v>
                </c:pt>
                <c:pt idx="80">
                  <c:v>648.71799999999996</c:v>
                </c:pt>
                <c:pt idx="81">
                  <c:v>684.61500000000001</c:v>
                </c:pt>
                <c:pt idx="82">
                  <c:v>707.69200000000001</c:v>
                </c:pt>
                <c:pt idx="83">
                  <c:v>720.51299999999992</c:v>
                </c:pt>
                <c:pt idx="84">
                  <c:v>738.46199999999999</c:v>
                </c:pt>
                <c:pt idx="85">
                  <c:v>751.28200000000004</c:v>
                </c:pt>
                <c:pt idx="86">
                  <c:v>766.66700000000003</c:v>
                </c:pt>
                <c:pt idx="87">
                  <c:v>776.923</c:v>
                </c:pt>
                <c:pt idx="88">
                  <c:v>797.43600000000004</c:v>
                </c:pt>
                <c:pt idx="89">
                  <c:v>817.94899999999996</c:v>
                </c:pt>
                <c:pt idx="90">
                  <c:v>833.33299999999997</c:v>
                </c:pt>
                <c:pt idx="91">
                  <c:v>851.28200000000004</c:v>
                </c:pt>
                <c:pt idx="92">
                  <c:v>864.10300000000007</c:v>
                </c:pt>
                <c:pt idx="93">
                  <c:v>879.48700000000008</c:v>
                </c:pt>
                <c:pt idx="94">
                  <c:v>894.87200000000007</c:v>
                </c:pt>
                <c:pt idx="95">
                  <c:v>933.33299999999997</c:v>
                </c:pt>
                <c:pt idx="96">
                  <c:v>953.846</c:v>
                </c:pt>
                <c:pt idx="97">
                  <c:v>982.05100000000004</c:v>
                </c:pt>
                <c:pt idx="98">
                  <c:v>566.66700000000003</c:v>
                </c:pt>
                <c:pt idx="99">
                  <c:v>592.30799999999999</c:v>
                </c:pt>
                <c:pt idx="100">
                  <c:v>607.69200000000001</c:v>
                </c:pt>
                <c:pt idx="101">
                  <c:v>630.76900000000001</c:v>
                </c:pt>
                <c:pt idx="102">
                  <c:v>641.02599999999995</c:v>
                </c:pt>
                <c:pt idx="103">
                  <c:v>643.58999999999992</c:v>
                </c:pt>
                <c:pt idx="104">
                  <c:v>743.58999999999992</c:v>
                </c:pt>
                <c:pt idx="105">
                  <c:v>712.82100000000003</c:v>
                </c:pt>
                <c:pt idx="106">
                  <c:v>679.48700000000008</c:v>
                </c:pt>
                <c:pt idx="107">
                  <c:v>658.97400000000005</c:v>
                </c:pt>
                <c:pt idx="108">
                  <c:v>630.76900000000001</c:v>
                </c:pt>
                <c:pt idx="109">
                  <c:v>612.82100000000003</c:v>
                </c:pt>
                <c:pt idx="110">
                  <c:v>587.17899999999997</c:v>
                </c:pt>
                <c:pt idx="111">
                  <c:v>551.28200000000004</c:v>
                </c:pt>
                <c:pt idx="112">
                  <c:v>523.077</c:v>
                </c:pt>
                <c:pt idx="113">
                  <c:v>497.43600000000004</c:v>
                </c:pt>
                <c:pt idx="114">
                  <c:v>474.35899999999998</c:v>
                </c:pt>
                <c:pt idx="115">
                  <c:v>448.71800000000002</c:v>
                </c:pt>
                <c:pt idx="116">
                  <c:v>487.17899999999997</c:v>
                </c:pt>
                <c:pt idx="117">
                  <c:v>512.82100000000003</c:v>
                </c:pt>
                <c:pt idx="118">
                  <c:v>541.02600000000007</c:v>
                </c:pt>
                <c:pt idx="119">
                  <c:v>561.53800000000001</c:v>
                </c:pt>
                <c:pt idx="120">
                  <c:v>520.51299999999992</c:v>
                </c:pt>
                <c:pt idx="121">
                  <c:v>487.17899999999997</c:v>
                </c:pt>
                <c:pt idx="122">
                  <c:v>471.79499999999996</c:v>
                </c:pt>
                <c:pt idx="123">
                  <c:v>461.53799999999995</c:v>
                </c:pt>
                <c:pt idx="124">
                  <c:v>505.12799999999999</c:v>
                </c:pt>
                <c:pt idx="125">
                  <c:v>538.46199999999999</c:v>
                </c:pt>
                <c:pt idx="126">
                  <c:v>574.35899999999992</c:v>
                </c:pt>
                <c:pt idx="127">
                  <c:v>600</c:v>
                </c:pt>
                <c:pt idx="128">
                  <c:v>641.02599999999995</c:v>
                </c:pt>
                <c:pt idx="129">
                  <c:v>669.23099999999999</c:v>
                </c:pt>
                <c:pt idx="130">
                  <c:v>712.82100000000003</c:v>
                </c:pt>
                <c:pt idx="131">
                  <c:v>743.58999999999992</c:v>
                </c:pt>
                <c:pt idx="132">
                  <c:v>782.05100000000004</c:v>
                </c:pt>
                <c:pt idx="133">
                  <c:v>679.48700000000008</c:v>
                </c:pt>
                <c:pt idx="134">
                  <c:v>684.61500000000001</c:v>
                </c:pt>
                <c:pt idx="135">
                  <c:v>682.05100000000004</c:v>
                </c:pt>
                <c:pt idx="136">
                  <c:v>376.923</c:v>
                </c:pt>
                <c:pt idx="137">
                  <c:v>394.87200000000001</c:v>
                </c:pt>
                <c:pt idx="138">
                  <c:v>912.82100000000003</c:v>
                </c:pt>
                <c:pt idx="139">
                  <c:v>500</c:v>
                </c:pt>
                <c:pt idx="140">
                  <c:v>479.48700000000002</c:v>
                </c:pt>
                <c:pt idx="141">
                  <c:v>441.02600000000001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BA-4CE0-84B7-B994431F9344}"/>
            </c:ext>
          </c:extLst>
        </c:ser>
        <c:ser>
          <c:idx val="5"/>
          <c:order val="1"/>
          <c:tx>
            <c:strRef>
              <c:f>SISB_Data_Stats_Formules!$B$7</c:f>
              <c:strCache>
                <c:ptCount val="1"/>
                <c:pt idx="0">
                  <c:v>Prêts physiques</c:v>
                </c:pt>
              </c:strCache>
            </c:strRef>
          </c:tx>
          <c:spPr>
            <a:ln w="22225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SISB_Data_Stats_Formules!$C$5:$EN$5</c:f>
              <c:numCache>
                <c:formatCode>m/d/yyyy</c:formatCode>
                <c:ptCount val="142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  <c:pt idx="90">
                  <c:v>46113</c:v>
                </c:pt>
                <c:pt idx="91">
                  <c:v>46114</c:v>
                </c:pt>
                <c:pt idx="92">
                  <c:v>46115</c:v>
                </c:pt>
                <c:pt idx="93">
                  <c:v>46116</c:v>
                </c:pt>
                <c:pt idx="94">
                  <c:v>46117</c:v>
                </c:pt>
                <c:pt idx="95">
                  <c:v>46118</c:v>
                </c:pt>
                <c:pt idx="96">
                  <c:v>46119</c:v>
                </c:pt>
                <c:pt idx="97">
                  <c:v>46120</c:v>
                </c:pt>
                <c:pt idx="98">
                  <c:v>46121</c:v>
                </c:pt>
                <c:pt idx="99">
                  <c:v>46122</c:v>
                </c:pt>
                <c:pt idx="100">
                  <c:v>46123</c:v>
                </c:pt>
                <c:pt idx="101">
                  <c:v>46124</c:v>
                </c:pt>
                <c:pt idx="102">
                  <c:v>46125</c:v>
                </c:pt>
                <c:pt idx="103">
                  <c:v>46126</c:v>
                </c:pt>
                <c:pt idx="104">
                  <c:v>46127</c:v>
                </c:pt>
                <c:pt idx="105">
                  <c:v>46128</c:v>
                </c:pt>
                <c:pt idx="106">
                  <c:v>46129</c:v>
                </c:pt>
                <c:pt idx="107">
                  <c:v>46130</c:v>
                </c:pt>
                <c:pt idx="108">
                  <c:v>46131</c:v>
                </c:pt>
                <c:pt idx="109">
                  <c:v>46132</c:v>
                </c:pt>
                <c:pt idx="110">
                  <c:v>46133</c:v>
                </c:pt>
                <c:pt idx="111">
                  <c:v>46134</c:v>
                </c:pt>
                <c:pt idx="112">
                  <c:v>46135</c:v>
                </c:pt>
                <c:pt idx="113">
                  <c:v>46136</c:v>
                </c:pt>
                <c:pt idx="114">
                  <c:v>46137</c:v>
                </c:pt>
                <c:pt idx="115">
                  <c:v>46138</c:v>
                </c:pt>
                <c:pt idx="116">
                  <c:v>46139</c:v>
                </c:pt>
                <c:pt idx="117">
                  <c:v>46140</c:v>
                </c:pt>
                <c:pt idx="118">
                  <c:v>46141</c:v>
                </c:pt>
                <c:pt idx="119">
                  <c:v>46142</c:v>
                </c:pt>
                <c:pt idx="120">
                  <c:v>46143</c:v>
                </c:pt>
                <c:pt idx="121">
                  <c:v>46144</c:v>
                </c:pt>
                <c:pt idx="122">
                  <c:v>46145</c:v>
                </c:pt>
                <c:pt idx="123">
                  <c:v>46146</c:v>
                </c:pt>
                <c:pt idx="124">
                  <c:v>46147</c:v>
                </c:pt>
                <c:pt idx="125">
                  <c:v>46148</c:v>
                </c:pt>
                <c:pt idx="126">
                  <c:v>46149</c:v>
                </c:pt>
                <c:pt idx="127">
                  <c:v>46150</c:v>
                </c:pt>
                <c:pt idx="128">
                  <c:v>46151</c:v>
                </c:pt>
                <c:pt idx="129">
                  <c:v>46152</c:v>
                </c:pt>
                <c:pt idx="130">
                  <c:v>46153</c:v>
                </c:pt>
                <c:pt idx="131">
                  <c:v>46154</c:v>
                </c:pt>
                <c:pt idx="132">
                  <c:v>46155</c:v>
                </c:pt>
                <c:pt idx="133">
                  <c:v>46156</c:v>
                </c:pt>
                <c:pt idx="134">
                  <c:v>46157</c:v>
                </c:pt>
                <c:pt idx="135">
                  <c:v>46158</c:v>
                </c:pt>
                <c:pt idx="136">
                  <c:v>46159</c:v>
                </c:pt>
                <c:pt idx="137">
                  <c:v>46160</c:v>
                </c:pt>
                <c:pt idx="138">
                  <c:v>46161</c:v>
                </c:pt>
                <c:pt idx="139">
                  <c:v>46162</c:v>
                </c:pt>
                <c:pt idx="140">
                  <c:v>46163</c:v>
                </c:pt>
                <c:pt idx="141">
                  <c:v>46164</c:v>
                </c:pt>
              </c:numCache>
            </c:numRef>
          </c:cat>
          <c:val>
            <c:numRef>
              <c:f>SISB_Data_Stats_Formules!$C$7:$EN$7</c:f>
              <c:numCache>
                <c:formatCode>0</c:formatCode>
                <c:ptCount val="142"/>
                <c:pt idx="0">
                  <c:v>971.79500000000007</c:v>
                </c:pt>
                <c:pt idx="1">
                  <c:v>960.25599999999997</c:v>
                </c:pt>
                <c:pt idx="2">
                  <c:v>944.87200000000007</c:v>
                </c:pt>
                <c:pt idx="3">
                  <c:v>914.10300000000007</c:v>
                </c:pt>
                <c:pt idx="4">
                  <c:v>883.33299999999997</c:v>
                </c:pt>
                <c:pt idx="5">
                  <c:v>848.71799999999996</c:v>
                </c:pt>
                <c:pt idx="6">
                  <c:v>798.71799999999996</c:v>
                </c:pt>
                <c:pt idx="7">
                  <c:v>775.64099999999996</c:v>
                </c:pt>
                <c:pt idx="8">
                  <c:v>744.87200000000007</c:v>
                </c:pt>
                <c:pt idx="9">
                  <c:v>714.10300000000007</c:v>
                </c:pt>
                <c:pt idx="10">
                  <c:v>664.10300000000007</c:v>
                </c:pt>
                <c:pt idx="11">
                  <c:v>617.94899999999996</c:v>
                </c:pt>
                <c:pt idx="12">
                  <c:v>571.79499999999996</c:v>
                </c:pt>
                <c:pt idx="13">
                  <c:v>529.48700000000008</c:v>
                </c:pt>
                <c:pt idx="14">
                  <c:v>510.25599999999997</c:v>
                </c:pt>
                <c:pt idx="15">
                  <c:v>510.25599999999997</c:v>
                </c:pt>
                <c:pt idx="16">
                  <c:v>510.25599999999997</c:v>
                </c:pt>
                <c:pt idx="17">
                  <c:v>514.10299999999995</c:v>
                </c:pt>
                <c:pt idx="18">
                  <c:v>514.10299999999995</c:v>
                </c:pt>
                <c:pt idx="19">
                  <c:v>529.48700000000008</c:v>
                </c:pt>
                <c:pt idx="20">
                  <c:v>541.02600000000007</c:v>
                </c:pt>
                <c:pt idx="21">
                  <c:v>552.56399999999996</c:v>
                </c:pt>
                <c:pt idx="22">
                  <c:v>556.41</c:v>
                </c:pt>
                <c:pt idx="23">
                  <c:v>560.25599999999997</c:v>
                </c:pt>
                <c:pt idx="24">
                  <c:v>579.48700000000008</c:v>
                </c:pt>
                <c:pt idx="25">
                  <c:v>621.79499999999996</c:v>
                </c:pt>
                <c:pt idx="26">
                  <c:v>664.10300000000007</c:v>
                </c:pt>
                <c:pt idx="27">
                  <c:v>691.02599999999995</c:v>
                </c:pt>
                <c:pt idx="28">
                  <c:v>552.56399999999996</c:v>
                </c:pt>
                <c:pt idx="29">
                  <c:v>498.71800000000002</c:v>
                </c:pt>
                <c:pt idx="30">
                  <c:v>460.25599999999997</c:v>
                </c:pt>
                <c:pt idx="31">
                  <c:v>383.33300000000003</c:v>
                </c:pt>
                <c:pt idx="32">
                  <c:v>421.79499999999996</c:v>
                </c:pt>
                <c:pt idx="33">
                  <c:v>441.02600000000001</c:v>
                </c:pt>
                <c:pt idx="34">
                  <c:v>364.10300000000001</c:v>
                </c:pt>
                <c:pt idx="35">
                  <c:v>325.64100000000002</c:v>
                </c:pt>
                <c:pt idx="36">
                  <c:v>314.10300000000001</c:v>
                </c:pt>
                <c:pt idx="37">
                  <c:v>302.56399999999996</c:v>
                </c:pt>
                <c:pt idx="38">
                  <c:v>321.79499999999996</c:v>
                </c:pt>
                <c:pt idx="39">
                  <c:v>367.94899999999996</c:v>
                </c:pt>
                <c:pt idx="40">
                  <c:v>414.10300000000001</c:v>
                </c:pt>
                <c:pt idx="41">
                  <c:v>456.40999999999997</c:v>
                </c:pt>
                <c:pt idx="42">
                  <c:v>491.02600000000001</c:v>
                </c:pt>
                <c:pt idx="43">
                  <c:v>360.25599999999997</c:v>
                </c:pt>
                <c:pt idx="44">
                  <c:v>321.79499999999996</c:v>
                </c:pt>
                <c:pt idx="45">
                  <c:v>291.02600000000001</c:v>
                </c:pt>
                <c:pt idx="46">
                  <c:v>267.94899999999996</c:v>
                </c:pt>
                <c:pt idx="47">
                  <c:v>252.56399999999999</c:v>
                </c:pt>
                <c:pt idx="48">
                  <c:v>252.56399999999999</c:v>
                </c:pt>
                <c:pt idx="49">
                  <c:v>256.40999999999997</c:v>
                </c:pt>
                <c:pt idx="50">
                  <c:v>287.18</c:v>
                </c:pt>
                <c:pt idx="51">
                  <c:v>314.10300000000001</c:v>
                </c:pt>
                <c:pt idx="52">
                  <c:v>348.71800000000002</c:v>
                </c:pt>
                <c:pt idx="53">
                  <c:v>375.64100000000002</c:v>
                </c:pt>
                <c:pt idx="54">
                  <c:v>406.40999999999997</c:v>
                </c:pt>
                <c:pt idx="55">
                  <c:v>421.79499999999996</c:v>
                </c:pt>
                <c:pt idx="56">
                  <c:v>444.87200000000001</c:v>
                </c:pt>
                <c:pt idx="57">
                  <c:v>460.25599999999997</c:v>
                </c:pt>
                <c:pt idx="58">
                  <c:v>467.94899999999996</c:v>
                </c:pt>
                <c:pt idx="59">
                  <c:v>479.48700000000002</c:v>
                </c:pt>
                <c:pt idx="60">
                  <c:v>537.18000000000006</c:v>
                </c:pt>
                <c:pt idx="61">
                  <c:v>606.41</c:v>
                </c:pt>
                <c:pt idx="62">
                  <c:v>644.87200000000007</c:v>
                </c:pt>
                <c:pt idx="63">
                  <c:v>694.87200000000007</c:v>
                </c:pt>
                <c:pt idx="64">
                  <c:v>798.71799999999996</c:v>
                </c:pt>
                <c:pt idx="65">
                  <c:v>841.02599999999995</c:v>
                </c:pt>
                <c:pt idx="66">
                  <c:v>852.56399999999996</c:v>
                </c:pt>
                <c:pt idx="67">
                  <c:v>852.56399999999996</c:v>
                </c:pt>
                <c:pt idx="68">
                  <c:v>860.25599999999997</c:v>
                </c:pt>
                <c:pt idx="69">
                  <c:v>860.25599999999997</c:v>
                </c:pt>
                <c:pt idx="70">
                  <c:v>829.48700000000008</c:v>
                </c:pt>
                <c:pt idx="71">
                  <c:v>806.41000000000008</c:v>
                </c:pt>
                <c:pt idx="72">
                  <c:v>787.18000000000006</c:v>
                </c:pt>
                <c:pt idx="73">
                  <c:v>787.18000000000006</c:v>
                </c:pt>
                <c:pt idx="74">
                  <c:v>775.64099999999996</c:v>
                </c:pt>
                <c:pt idx="75">
                  <c:v>598.71799999999996</c:v>
                </c:pt>
                <c:pt idx="76">
                  <c:v>621.79499999999996</c:v>
                </c:pt>
                <c:pt idx="77">
                  <c:v>625.64100000000008</c:v>
                </c:pt>
                <c:pt idx="78">
                  <c:v>994.87200000000007</c:v>
                </c:pt>
                <c:pt idx="79">
                  <c:v>991.02599999999995</c:v>
                </c:pt>
                <c:pt idx="80">
                  <c:v>975.64099999999996</c:v>
                </c:pt>
                <c:pt idx="81">
                  <c:v>941.02599999999995</c:v>
                </c:pt>
                <c:pt idx="82">
                  <c:v>910.25599999999997</c:v>
                </c:pt>
                <c:pt idx="83">
                  <c:v>864.10300000000007</c:v>
                </c:pt>
                <c:pt idx="84">
                  <c:v>833.33299999999997</c:v>
                </c:pt>
                <c:pt idx="85">
                  <c:v>791.02599999999995</c:v>
                </c:pt>
                <c:pt idx="86">
                  <c:v>752.56399999999996</c:v>
                </c:pt>
                <c:pt idx="87">
                  <c:v>714.10300000000007</c:v>
                </c:pt>
                <c:pt idx="88">
                  <c:v>667.94899999999996</c:v>
                </c:pt>
                <c:pt idx="89">
                  <c:v>602.56399999999996</c:v>
                </c:pt>
                <c:pt idx="90">
                  <c:v>552.56399999999996</c:v>
                </c:pt>
                <c:pt idx="91">
                  <c:v>514.10299999999995</c:v>
                </c:pt>
                <c:pt idx="92">
                  <c:v>475.64100000000002</c:v>
                </c:pt>
                <c:pt idx="93">
                  <c:v>460.25599999999997</c:v>
                </c:pt>
                <c:pt idx="94">
                  <c:v>425.64100000000002</c:v>
                </c:pt>
                <c:pt idx="95">
                  <c:v>398.71800000000002</c:v>
                </c:pt>
                <c:pt idx="96">
                  <c:v>367.94899999999996</c:v>
                </c:pt>
                <c:pt idx="97">
                  <c:v>337.18000000000006</c:v>
                </c:pt>
                <c:pt idx="98">
                  <c:v>406.40999999999997</c:v>
                </c:pt>
                <c:pt idx="99">
                  <c:v>383.33300000000003</c:v>
                </c:pt>
                <c:pt idx="100">
                  <c:v>337.18000000000006</c:v>
                </c:pt>
                <c:pt idx="101">
                  <c:v>291.02600000000001</c:v>
                </c:pt>
                <c:pt idx="102">
                  <c:v>252.56399999999999</c:v>
                </c:pt>
                <c:pt idx="103">
                  <c:v>241.02599999999998</c:v>
                </c:pt>
                <c:pt idx="104">
                  <c:v>229.48699999999999</c:v>
                </c:pt>
                <c:pt idx="105">
                  <c:v>229.48699999999999</c:v>
                </c:pt>
                <c:pt idx="106">
                  <c:v>221.79500000000002</c:v>
                </c:pt>
                <c:pt idx="107">
                  <c:v>202.56399999999999</c:v>
                </c:pt>
                <c:pt idx="108">
                  <c:v>191.02599999999998</c:v>
                </c:pt>
                <c:pt idx="109">
                  <c:v>191.02599999999998</c:v>
                </c:pt>
                <c:pt idx="110">
                  <c:v>183.33300000000003</c:v>
                </c:pt>
                <c:pt idx="111">
                  <c:v>183.33300000000003</c:v>
                </c:pt>
                <c:pt idx="112">
                  <c:v>183.33300000000003</c:v>
                </c:pt>
                <c:pt idx="113">
                  <c:v>175.64099999999999</c:v>
                </c:pt>
                <c:pt idx="114">
                  <c:v>160.256</c:v>
                </c:pt>
                <c:pt idx="115">
                  <c:v>137.18</c:v>
                </c:pt>
                <c:pt idx="116">
                  <c:v>148.71800000000002</c:v>
                </c:pt>
                <c:pt idx="117">
                  <c:v>148.71800000000002</c:v>
                </c:pt>
                <c:pt idx="118">
                  <c:v>148.71800000000002</c:v>
                </c:pt>
                <c:pt idx="119">
                  <c:v>141.02600000000001</c:v>
                </c:pt>
                <c:pt idx="120">
                  <c:v>125.64099999999999</c:v>
                </c:pt>
                <c:pt idx="121">
                  <c:v>110.256</c:v>
                </c:pt>
                <c:pt idx="122">
                  <c:v>98.718000000000004</c:v>
                </c:pt>
                <c:pt idx="123">
                  <c:v>60.256</c:v>
                </c:pt>
                <c:pt idx="124">
                  <c:v>94.872</c:v>
                </c:pt>
                <c:pt idx="125">
                  <c:v>102.56399999999999</c:v>
                </c:pt>
                <c:pt idx="126">
                  <c:v>102.56399999999999</c:v>
                </c:pt>
                <c:pt idx="127">
                  <c:v>106.41</c:v>
                </c:pt>
                <c:pt idx="128">
                  <c:v>106.41</c:v>
                </c:pt>
                <c:pt idx="129">
                  <c:v>106.41</c:v>
                </c:pt>
                <c:pt idx="130">
                  <c:v>106.41</c:v>
                </c:pt>
                <c:pt idx="131">
                  <c:v>106.41</c:v>
                </c:pt>
                <c:pt idx="132">
                  <c:v>106.41</c:v>
                </c:pt>
                <c:pt idx="133">
                  <c:v>87.18</c:v>
                </c:pt>
                <c:pt idx="134">
                  <c:v>52.564</c:v>
                </c:pt>
                <c:pt idx="135">
                  <c:v>29.487000000000002</c:v>
                </c:pt>
                <c:pt idx="136">
                  <c:v>257.69200000000001</c:v>
                </c:pt>
                <c:pt idx="137">
                  <c:v>253.846</c:v>
                </c:pt>
                <c:pt idx="138">
                  <c:v>415.38499999999999</c:v>
                </c:pt>
                <c:pt idx="139">
                  <c:v>957.69200000000001</c:v>
                </c:pt>
                <c:pt idx="140">
                  <c:v>950</c:v>
                </c:pt>
                <c:pt idx="141">
                  <c:v>926.923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BA-4CE0-84B7-B994431F9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4193808"/>
        <c:axId val="697417168"/>
      </c:lineChart>
      <c:dateAx>
        <c:axId val="13841938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7417168"/>
        <c:crosses val="autoZero"/>
        <c:auto val="1"/>
        <c:lblOffset val="100"/>
        <c:baseTimeUnit val="days"/>
        <c:majorUnit val="1"/>
        <c:majorTimeUnit val="months"/>
      </c:dateAx>
      <c:valAx>
        <c:axId val="697417168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9380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>
                <a:solidFill>
                  <a:schemeClr val="tx1">
                    <a:lumMod val="50000"/>
                  </a:schemeClr>
                </a:solidFill>
                <a:latin typeface="Aptos SemiBold" panose="020B0004020202020204" pitchFamily="34" charset="0"/>
              </a:rPr>
              <a:t>Evolution du nombre d'</a:t>
            </a:r>
            <a:r>
              <a:rPr lang="fr-CH">
                <a:solidFill>
                  <a:srgbClr val="FF0000"/>
                </a:solidFill>
                <a:latin typeface="Aptos SemiBold" panose="020B0004020202020204" pitchFamily="34" charset="0"/>
              </a:rPr>
              <a:t>entrées</a:t>
            </a:r>
            <a:r>
              <a:rPr lang="fr-CH">
                <a:solidFill>
                  <a:schemeClr val="tx1">
                    <a:lumMod val="50000"/>
                  </a:schemeClr>
                </a:solidFill>
                <a:latin typeface="Aptos SemiBold" panose="020B0004020202020204" pitchFamily="34" charset="0"/>
              </a:rPr>
              <a:t> et de </a:t>
            </a:r>
            <a:r>
              <a:rPr lang="fr-CH">
                <a:solidFill>
                  <a:schemeClr val="accent2"/>
                </a:solidFill>
                <a:latin typeface="Aptos SemiBold" panose="020B0004020202020204" pitchFamily="34" charset="0"/>
              </a:rPr>
              <a:t>prêts</a:t>
            </a:r>
            <a:r>
              <a:rPr lang="fr-CH">
                <a:solidFill>
                  <a:schemeClr val="tx1">
                    <a:lumMod val="50000"/>
                  </a:schemeClr>
                </a:solidFill>
                <a:latin typeface="Aptos SemiBold" panose="020B0004020202020204" pitchFamily="34" charset="0"/>
              </a:rPr>
              <a:t> physiques à la Bibliothèque</a:t>
            </a:r>
            <a:br>
              <a:rPr lang="fr-CH">
                <a:solidFill>
                  <a:schemeClr val="tx1">
                    <a:lumMod val="50000"/>
                  </a:schemeClr>
                </a:solidFill>
              </a:rPr>
            </a:br>
            <a:r>
              <a:rPr lang="fr-CH" sz="1000">
                <a:solidFill>
                  <a:schemeClr val="tx1">
                    <a:lumMod val="50000"/>
                  </a:schemeClr>
                </a:solidFill>
              </a:rPr>
              <a:t>01.01.2026..23.05.2026</a:t>
            </a:r>
          </a:p>
        </c:rich>
      </c:tx>
      <c:layout>
        <c:manualLayout>
          <c:xMode val="edge"/>
          <c:yMode val="edge"/>
          <c:x val="1.3275612318126734E-2"/>
          <c:y val="1.846251358642321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3558248953396143E-2"/>
          <c:y val="0.1588864705793637"/>
          <c:w val="0.92861554292224247"/>
          <c:h val="0.70346563444963095"/>
        </c:manualLayout>
      </c:layout>
      <c:lineChart>
        <c:grouping val="standard"/>
        <c:varyColors val="0"/>
        <c:ser>
          <c:idx val="2"/>
          <c:order val="0"/>
          <c:tx>
            <c:strRef>
              <c:f>SISB_Data_Stats_Formules!$B$6</c:f>
              <c:strCache>
                <c:ptCount val="1"/>
                <c:pt idx="0">
                  <c:v>Entrées physiques</c:v>
                </c:pt>
              </c:strCache>
            </c:strRef>
          </c:tx>
          <c:spPr>
            <a:ln w="190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SISB_Data_Stats_Formules!$C$5:$EN$5</c:f>
              <c:numCache>
                <c:formatCode>m/d/yyyy</c:formatCode>
                <c:ptCount val="142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  <c:pt idx="90">
                  <c:v>46113</c:v>
                </c:pt>
                <c:pt idx="91">
                  <c:v>46114</c:v>
                </c:pt>
                <c:pt idx="92">
                  <c:v>46115</c:v>
                </c:pt>
                <c:pt idx="93">
                  <c:v>46116</c:v>
                </c:pt>
                <c:pt idx="94">
                  <c:v>46117</c:v>
                </c:pt>
                <c:pt idx="95">
                  <c:v>46118</c:v>
                </c:pt>
                <c:pt idx="96">
                  <c:v>46119</c:v>
                </c:pt>
                <c:pt idx="97">
                  <c:v>46120</c:v>
                </c:pt>
                <c:pt idx="98">
                  <c:v>46121</c:v>
                </c:pt>
                <c:pt idx="99">
                  <c:v>46122</c:v>
                </c:pt>
                <c:pt idx="100">
                  <c:v>46123</c:v>
                </c:pt>
                <c:pt idx="101">
                  <c:v>46124</c:v>
                </c:pt>
                <c:pt idx="102">
                  <c:v>46125</c:v>
                </c:pt>
                <c:pt idx="103">
                  <c:v>46126</c:v>
                </c:pt>
                <c:pt idx="104">
                  <c:v>46127</c:v>
                </c:pt>
                <c:pt idx="105">
                  <c:v>46128</c:v>
                </c:pt>
                <c:pt idx="106">
                  <c:v>46129</c:v>
                </c:pt>
                <c:pt idx="107">
                  <c:v>46130</c:v>
                </c:pt>
                <c:pt idx="108">
                  <c:v>46131</c:v>
                </c:pt>
                <c:pt idx="109">
                  <c:v>46132</c:v>
                </c:pt>
                <c:pt idx="110">
                  <c:v>46133</c:v>
                </c:pt>
                <c:pt idx="111">
                  <c:v>46134</c:v>
                </c:pt>
                <c:pt idx="112">
                  <c:v>46135</c:v>
                </c:pt>
                <c:pt idx="113">
                  <c:v>46136</c:v>
                </c:pt>
                <c:pt idx="114">
                  <c:v>46137</c:v>
                </c:pt>
                <c:pt idx="115">
                  <c:v>46138</c:v>
                </c:pt>
                <c:pt idx="116">
                  <c:v>46139</c:v>
                </c:pt>
                <c:pt idx="117">
                  <c:v>46140</c:v>
                </c:pt>
                <c:pt idx="118">
                  <c:v>46141</c:v>
                </c:pt>
                <c:pt idx="119">
                  <c:v>46142</c:v>
                </c:pt>
                <c:pt idx="120">
                  <c:v>46143</c:v>
                </c:pt>
                <c:pt idx="121">
                  <c:v>46144</c:v>
                </c:pt>
                <c:pt idx="122">
                  <c:v>46145</c:v>
                </c:pt>
                <c:pt idx="123">
                  <c:v>46146</c:v>
                </c:pt>
                <c:pt idx="124">
                  <c:v>46147</c:v>
                </c:pt>
                <c:pt idx="125">
                  <c:v>46148</c:v>
                </c:pt>
                <c:pt idx="126">
                  <c:v>46149</c:v>
                </c:pt>
                <c:pt idx="127">
                  <c:v>46150</c:v>
                </c:pt>
                <c:pt idx="128">
                  <c:v>46151</c:v>
                </c:pt>
                <c:pt idx="129">
                  <c:v>46152</c:v>
                </c:pt>
                <c:pt idx="130">
                  <c:v>46153</c:v>
                </c:pt>
                <c:pt idx="131">
                  <c:v>46154</c:v>
                </c:pt>
                <c:pt idx="132">
                  <c:v>46155</c:v>
                </c:pt>
                <c:pt idx="133">
                  <c:v>46156</c:v>
                </c:pt>
                <c:pt idx="134">
                  <c:v>46157</c:v>
                </c:pt>
                <c:pt idx="135">
                  <c:v>46158</c:v>
                </c:pt>
                <c:pt idx="136">
                  <c:v>46159</c:v>
                </c:pt>
                <c:pt idx="137">
                  <c:v>46160</c:v>
                </c:pt>
                <c:pt idx="138">
                  <c:v>46161</c:v>
                </c:pt>
                <c:pt idx="139">
                  <c:v>46162</c:v>
                </c:pt>
                <c:pt idx="140">
                  <c:v>46163</c:v>
                </c:pt>
                <c:pt idx="141">
                  <c:v>46164</c:v>
                </c:pt>
              </c:numCache>
            </c:numRef>
          </c:cat>
          <c:val>
            <c:numRef>
              <c:f>SISB_Data_Stats_Formules!$C$6:$EN$6</c:f>
              <c:numCache>
                <c:formatCode>0</c:formatCode>
                <c:ptCount val="142"/>
                <c:pt idx="0">
                  <c:v>553.846</c:v>
                </c:pt>
                <c:pt idx="1">
                  <c:v>515.38499999999999</c:v>
                </c:pt>
                <c:pt idx="2">
                  <c:v>461.53799999999995</c:v>
                </c:pt>
                <c:pt idx="3">
                  <c:v>428.20500000000004</c:v>
                </c:pt>
                <c:pt idx="4">
                  <c:v>407.69200000000001</c:v>
                </c:pt>
                <c:pt idx="5">
                  <c:v>387.17899999999997</c:v>
                </c:pt>
                <c:pt idx="6">
                  <c:v>356.40999999999997</c:v>
                </c:pt>
                <c:pt idx="7">
                  <c:v>330.76900000000001</c:v>
                </c:pt>
                <c:pt idx="8">
                  <c:v>289.74399999999997</c:v>
                </c:pt>
                <c:pt idx="9">
                  <c:v>261.53800000000001</c:v>
                </c:pt>
                <c:pt idx="10">
                  <c:v>230.76899999999998</c:v>
                </c:pt>
                <c:pt idx="11">
                  <c:v>223.077</c:v>
                </c:pt>
                <c:pt idx="12">
                  <c:v>223.077</c:v>
                </c:pt>
                <c:pt idx="13">
                  <c:v>233.33300000000003</c:v>
                </c:pt>
                <c:pt idx="14">
                  <c:v>258.97399999999999</c:v>
                </c:pt>
                <c:pt idx="15">
                  <c:v>294.87200000000001</c:v>
                </c:pt>
                <c:pt idx="16">
                  <c:v>328.20500000000004</c:v>
                </c:pt>
                <c:pt idx="17">
                  <c:v>353.846</c:v>
                </c:pt>
                <c:pt idx="18">
                  <c:v>402.56399999999996</c:v>
                </c:pt>
                <c:pt idx="19">
                  <c:v>441.02600000000001</c:v>
                </c:pt>
                <c:pt idx="20">
                  <c:v>466.66699999999997</c:v>
                </c:pt>
                <c:pt idx="21">
                  <c:v>500</c:v>
                </c:pt>
                <c:pt idx="22">
                  <c:v>530.76900000000001</c:v>
                </c:pt>
                <c:pt idx="23">
                  <c:v>566.66700000000003</c:v>
                </c:pt>
                <c:pt idx="24">
                  <c:v>592.30799999999999</c:v>
                </c:pt>
                <c:pt idx="25">
                  <c:v>612.82100000000003</c:v>
                </c:pt>
                <c:pt idx="26">
                  <c:v>615.38499999999999</c:v>
                </c:pt>
                <c:pt idx="27">
                  <c:v>617.94899999999996</c:v>
                </c:pt>
                <c:pt idx="28">
                  <c:v>574.35899999999992</c:v>
                </c:pt>
                <c:pt idx="29">
                  <c:v>548.71799999999996</c:v>
                </c:pt>
                <c:pt idx="30">
                  <c:v>525.64100000000008</c:v>
                </c:pt>
                <c:pt idx="31">
                  <c:v>482.05100000000004</c:v>
                </c:pt>
                <c:pt idx="32">
                  <c:v>494.87200000000001</c:v>
                </c:pt>
                <c:pt idx="33">
                  <c:v>510.25599999999997</c:v>
                </c:pt>
                <c:pt idx="34">
                  <c:v>453.846</c:v>
                </c:pt>
                <c:pt idx="35">
                  <c:v>428.20500000000004</c:v>
                </c:pt>
                <c:pt idx="36">
                  <c:v>387.17899999999997</c:v>
                </c:pt>
                <c:pt idx="37">
                  <c:v>351.28199999999998</c:v>
                </c:pt>
                <c:pt idx="38">
                  <c:v>325.64100000000002</c:v>
                </c:pt>
                <c:pt idx="39">
                  <c:v>300</c:v>
                </c:pt>
                <c:pt idx="40">
                  <c:v>335.89699999999999</c:v>
                </c:pt>
                <c:pt idx="41">
                  <c:v>366.66699999999997</c:v>
                </c:pt>
                <c:pt idx="42">
                  <c:v>382.05100000000004</c:v>
                </c:pt>
                <c:pt idx="43">
                  <c:v>297.43600000000004</c:v>
                </c:pt>
                <c:pt idx="44">
                  <c:v>297.43600000000004</c:v>
                </c:pt>
                <c:pt idx="45">
                  <c:v>300</c:v>
                </c:pt>
                <c:pt idx="46">
                  <c:v>320.51299999999998</c:v>
                </c:pt>
                <c:pt idx="47">
                  <c:v>358.97399999999999</c:v>
                </c:pt>
                <c:pt idx="48">
                  <c:v>410.25599999999997</c:v>
                </c:pt>
                <c:pt idx="49">
                  <c:v>441.02600000000001</c:v>
                </c:pt>
                <c:pt idx="50">
                  <c:v>471.79499999999996</c:v>
                </c:pt>
                <c:pt idx="51">
                  <c:v>494.87200000000001</c:v>
                </c:pt>
                <c:pt idx="52">
                  <c:v>515.38499999999999</c:v>
                </c:pt>
                <c:pt idx="53">
                  <c:v>535.89700000000005</c:v>
                </c:pt>
                <c:pt idx="54">
                  <c:v>551.28200000000004</c:v>
                </c:pt>
                <c:pt idx="55">
                  <c:v>566.66700000000003</c:v>
                </c:pt>
                <c:pt idx="56">
                  <c:v>592.30799999999999</c:v>
                </c:pt>
                <c:pt idx="57">
                  <c:v>623.077</c:v>
                </c:pt>
                <c:pt idx="58">
                  <c:v>648.71799999999996</c:v>
                </c:pt>
                <c:pt idx="59">
                  <c:v>679.48700000000008</c:v>
                </c:pt>
                <c:pt idx="60">
                  <c:v>705.12799999999993</c:v>
                </c:pt>
                <c:pt idx="61">
                  <c:v>715.38499999999999</c:v>
                </c:pt>
                <c:pt idx="62">
                  <c:v>715.38499999999999</c:v>
                </c:pt>
                <c:pt idx="63">
                  <c:v>694.87200000000007</c:v>
                </c:pt>
                <c:pt idx="64">
                  <c:v>469.23099999999999</c:v>
                </c:pt>
                <c:pt idx="65">
                  <c:v>482.05100000000004</c:v>
                </c:pt>
                <c:pt idx="66">
                  <c:v>500</c:v>
                </c:pt>
                <c:pt idx="67">
                  <c:v>530.76900000000001</c:v>
                </c:pt>
                <c:pt idx="68">
                  <c:v>553.846</c:v>
                </c:pt>
                <c:pt idx="69">
                  <c:v>566.66700000000003</c:v>
                </c:pt>
                <c:pt idx="70">
                  <c:v>561.53800000000001</c:v>
                </c:pt>
                <c:pt idx="71">
                  <c:v>538.46199999999999</c:v>
                </c:pt>
                <c:pt idx="72">
                  <c:v>512.82100000000003</c:v>
                </c:pt>
                <c:pt idx="73">
                  <c:v>500</c:v>
                </c:pt>
                <c:pt idx="74">
                  <c:v>479.48700000000002</c:v>
                </c:pt>
                <c:pt idx="75">
                  <c:v>297.43600000000004</c:v>
                </c:pt>
                <c:pt idx="76">
                  <c:v>297.43600000000004</c:v>
                </c:pt>
                <c:pt idx="77">
                  <c:v>312.82100000000003</c:v>
                </c:pt>
                <c:pt idx="78">
                  <c:v>579.48700000000008</c:v>
                </c:pt>
                <c:pt idx="79">
                  <c:v>617.94899999999996</c:v>
                </c:pt>
                <c:pt idx="80">
                  <c:v>648.71799999999996</c:v>
                </c:pt>
                <c:pt idx="81">
                  <c:v>684.61500000000001</c:v>
                </c:pt>
                <c:pt idx="82">
                  <c:v>707.69200000000001</c:v>
                </c:pt>
                <c:pt idx="83">
                  <c:v>720.51299999999992</c:v>
                </c:pt>
                <c:pt idx="84">
                  <c:v>738.46199999999999</c:v>
                </c:pt>
                <c:pt idx="85">
                  <c:v>751.28200000000004</c:v>
                </c:pt>
                <c:pt idx="86">
                  <c:v>766.66700000000003</c:v>
                </c:pt>
                <c:pt idx="87">
                  <c:v>776.923</c:v>
                </c:pt>
                <c:pt idx="88">
                  <c:v>797.43600000000004</c:v>
                </c:pt>
                <c:pt idx="89">
                  <c:v>817.94899999999996</c:v>
                </c:pt>
                <c:pt idx="90">
                  <c:v>833.33299999999997</c:v>
                </c:pt>
                <c:pt idx="91">
                  <c:v>851.28200000000004</c:v>
                </c:pt>
                <c:pt idx="92">
                  <c:v>864.10300000000007</c:v>
                </c:pt>
                <c:pt idx="93">
                  <c:v>879.48700000000008</c:v>
                </c:pt>
                <c:pt idx="94">
                  <c:v>894.87200000000007</c:v>
                </c:pt>
                <c:pt idx="95">
                  <c:v>933.33299999999997</c:v>
                </c:pt>
                <c:pt idx="96">
                  <c:v>953.846</c:v>
                </c:pt>
                <c:pt idx="97">
                  <c:v>982.05100000000004</c:v>
                </c:pt>
                <c:pt idx="98">
                  <c:v>566.66700000000003</c:v>
                </c:pt>
                <c:pt idx="99">
                  <c:v>592.30799999999999</c:v>
                </c:pt>
                <c:pt idx="100">
                  <c:v>607.69200000000001</c:v>
                </c:pt>
                <c:pt idx="101">
                  <c:v>630.76900000000001</c:v>
                </c:pt>
                <c:pt idx="102">
                  <c:v>641.02599999999995</c:v>
                </c:pt>
                <c:pt idx="103">
                  <c:v>643.58999999999992</c:v>
                </c:pt>
                <c:pt idx="104">
                  <c:v>743.58999999999992</c:v>
                </c:pt>
                <c:pt idx="105">
                  <c:v>712.82100000000003</c:v>
                </c:pt>
                <c:pt idx="106">
                  <c:v>679.48700000000008</c:v>
                </c:pt>
                <c:pt idx="107">
                  <c:v>658.97400000000005</c:v>
                </c:pt>
                <c:pt idx="108">
                  <c:v>630.76900000000001</c:v>
                </c:pt>
                <c:pt idx="109">
                  <c:v>612.82100000000003</c:v>
                </c:pt>
                <c:pt idx="110">
                  <c:v>587.17899999999997</c:v>
                </c:pt>
                <c:pt idx="111">
                  <c:v>551.28200000000004</c:v>
                </c:pt>
                <c:pt idx="112">
                  <c:v>523.077</c:v>
                </c:pt>
                <c:pt idx="113">
                  <c:v>497.43600000000004</c:v>
                </c:pt>
                <c:pt idx="114">
                  <c:v>474.35899999999998</c:v>
                </c:pt>
                <c:pt idx="115">
                  <c:v>448.71800000000002</c:v>
                </c:pt>
                <c:pt idx="116">
                  <c:v>487.17899999999997</c:v>
                </c:pt>
                <c:pt idx="117">
                  <c:v>512.82100000000003</c:v>
                </c:pt>
                <c:pt idx="118">
                  <c:v>541.02600000000007</c:v>
                </c:pt>
                <c:pt idx="119">
                  <c:v>561.53800000000001</c:v>
                </c:pt>
                <c:pt idx="120">
                  <c:v>520.51299999999992</c:v>
                </c:pt>
                <c:pt idx="121">
                  <c:v>487.17899999999997</c:v>
                </c:pt>
                <c:pt idx="122">
                  <c:v>471.79499999999996</c:v>
                </c:pt>
                <c:pt idx="123">
                  <c:v>461.53799999999995</c:v>
                </c:pt>
                <c:pt idx="124">
                  <c:v>505.12799999999999</c:v>
                </c:pt>
                <c:pt idx="125">
                  <c:v>538.46199999999999</c:v>
                </c:pt>
                <c:pt idx="126">
                  <c:v>574.35899999999992</c:v>
                </c:pt>
                <c:pt idx="127">
                  <c:v>600</c:v>
                </c:pt>
                <c:pt idx="128">
                  <c:v>641.02599999999995</c:v>
                </c:pt>
                <c:pt idx="129">
                  <c:v>669.23099999999999</c:v>
                </c:pt>
                <c:pt idx="130">
                  <c:v>712.82100000000003</c:v>
                </c:pt>
                <c:pt idx="131">
                  <c:v>743.58999999999992</c:v>
                </c:pt>
                <c:pt idx="132">
                  <c:v>782.05100000000004</c:v>
                </c:pt>
                <c:pt idx="133">
                  <c:v>679.48700000000008</c:v>
                </c:pt>
                <c:pt idx="134">
                  <c:v>684.61500000000001</c:v>
                </c:pt>
                <c:pt idx="135">
                  <c:v>682.05100000000004</c:v>
                </c:pt>
                <c:pt idx="136">
                  <c:v>376.923</c:v>
                </c:pt>
                <c:pt idx="137">
                  <c:v>394.87200000000001</c:v>
                </c:pt>
                <c:pt idx="138">
                  <c:v>912.82100000000003</c:v>
                </c:pt>
                <c:pt idx="139">
                  <c:v>500</c:v>
                </c:pt>
                <c:pt idx="140">
                  <c:v>479.48700000000002</c:v>
                </c:pt>
                <c:pt idx="141">
                  <c:v>441.02600000000001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598-402B-8F05-6C36C84FD6C9}"/>
            </c:ext>
          </c:extLst>
        </c:ser>
        <c:ser>
          <c:idx val="3"/>
          <c:order val="1"/>
          <c:tx>
            <c:strRef>
              <c:f>SISB_Data_Stats_Formules!$B$7</c:f>
              <c:strCache>
                <c:ptCount val="1"/>
                <c:pt idx="0">
                  <c:v>Prêts physiques</c:v>
                </c:pt>
              </c:strCache>
            </c:strRef>
          </c:tx>
          <c:spPr>
            <a:ln w="19050">
              <a:solidFill>
                <a:schemeClr val="accent1"/>
              </a:solidFill>
            </a:ln>
          </c:spPr>
          <c:marker>
            <c:symbol val="none"/>
          </c:marker>
          <c:dPt>
            <c:idx val="78"/>
            <c:bubble3D val="0"/>
            <c:extLst>
              <c:ext xmlns:c16="http://schemas.microsoft.com/office/drawing/2014/chart" uri="{C3380CC4-5D6E-409C-BE32-E72D297353CC}">
                <c16:uniqueId val="{00000016-F598-402B-8F05-6C36C84FD6C9}"/>
              </c:ext>
            </c:extLst>
          </c:dPt>
          <c:cat>
            <c:numRef>
              <c:f>SISB_Data_Stats_Formules!$C$5:$EN$5</c:f>
              <c:numCache>
                <c:formatCode>m/d/yyyy</c:formatCode>
                <c:ptCount val="142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  <c:pt idx="90">
                  <c:v>46113</c:v>
                </c:pt>
                <c:pt idx="91">
                  <c:v>46114</c:v>
                </c:pt>
                <c:pt idx="92">
                  <c:v>46115</c:v>
                </c:pt>
                <c:pt idx="93">
                  <c:v>46116</c:v>
                </c:pt>
                <c:pt idx="94">
                  <c:v>46117</c:v>
                </c:pt>
                <c:pt idx="95">
                  <c:v>46118</c:v>
                </c:pt>
                <c:pt idx="96">
                  <c:v>46119</c:v>
                </c:pt>
                <c:pt idx="97">
                  <c:v>46120</c:v>
                </c:pt>
                <c:pt idx="98">
                  <c:v>46121</c:v>
                </c:pt>
                <c:pt idx="99">
                  <c:v>46122</c:v>
                </c:pt>
                <c:pt idx="100">
                  <c:v>46123</c:v>
                </c:pt>
                <c:pt idx="101">
                  <c:v>46124</c:v>
                </c:pt>
                <c:pt idx="102">
                  <c:v>46125</c:v>
                </c:pt>
                <c:pt idx="103">
                  <c:v>46126</c:v>
                </c:pt>
                <c:pt idx="104">
                  <c:v>46127</c:v>
                </c:pt>
                <c:pt idx="105">
                  <c:v>46128</c:v>
                </c:pt>
                <c:pt idx="106">
                  <c:v>46129</c:v>
                </c:pt>
                <c:pt idx="107">
                  <c:v>46130</c:v>
                </c:pt>
                <c:pt idx="108">
                  <c:v>46131</c:v>
                </c:pt>
                <c:pt idx="109">
                  <c:v>46132</c:v>
                </c:pt>
                <c:pt idx="110">
                  <c:v>46133</c:v>
                </c:pt>
                <c:pt idx="111">
                  <c:v>46134</c:v>
                </c:pt>
                <c:pt idx="112">
                  <c:v>46135</c:v>
                </c:pt>
                <c:pt idx="113">
                  <c:v>46136</c:v>
                </c:pt>
                <c:pt idx="114">
                  <c:v>46137</c:v>
                </c:pt>
                <c:pt idx="115">
                  <c:v>46138</c:v>
                </c:pt>
                <c:pt idx="116">
                  <c:v>46139</c:v>
                </c:pt>
                <c:pt idx="117">
                  <c:v>46140</c:v>
                </c:pt>
                <c:pt idx="118">
                  <c:v>46141</c:v>
                </c:pt>
                <c:pt idx="119">
                  <c:v>46142</c:v>
                </c:pt>
                <c:pt idx="120">
                  <c:v>46143</c:v>
                </c:pt>
                <c:pt idx="121">
                  <c:v>46144</c:v>
                </c:pt>
                <c:pt idx="122">
                  <c:v>46145</c:v>
                </c:pt>
                <c:pt idx="123">
                  <c:v>46146</c:v>
                </c:pt>
                <c:pt idx="124">
                  <c:v>46147</c:v>
                </c:pt>
                <c:pt idx="125">
                  <c:v>46148</c:v>
                </c:pt>
                <c:pt idx="126">
                  <c:v>46149</c:v>
                </c:pt>
                <c:pt idx="127">
                  <c:v>46150</c:v>
                </c:pt>
                <c:pt idx="128">
                  <c:v>46151</c:v>
                </c:pt>
                <c:pt idx="129">
                  <c:v>46152</c:v>
                </c:pt>
                <c:pt idx="130">
                  <c:v>46153</c:v>
                </c:pt>
                <c:pt idx="131">
                  <c:v>46154</c:v>
                </c:pt>
                <c:pt idx="132">
                  <c:v>46155</c:v>
                </c:pt>
                <c:pt idx="133">
                  <c:v>46156</c:v>
                </c:pt>
                <c:pt idx="134">
                  <c:v>46157</c:v>
                </c:pt>
                <c:pt idx="135">
                  <c:v>46158</c:v>
                </c:pt>
                <c:pt idx="136">
                  <c:v>46159</c:v>
                </c:pt>
                <c:pt idx="137">
                  <c:v>46160</c:v>
                </c:pt>
                <c:pt idx="138">
                  <c:v>46161</c:v>
                </c:pt>
                <c:pt idx="139">
                  <c:v>46162</c:v>
                </c:pt>
                <c:pt idx="140">
                  <c:v>46163</c:v>
                </c:pt>
                <c:pt idx="141">
                  <c:v>46164</c:v>
                </c:pt>
              </c:numCache>
            </c:numRef>
          </c:cat>
          <c:val>
            <c:numRef>
              <c:f>SISB_Data_Stats_Formules!$C$7:$EN$7</c:f>
              <c:numCache>
                <c:formatCode>0</c:formatCode>
                <c:ptCount val="142"/>
                <c:pt idx="0">
                  <c:v>971.79500000000007</c:v>
                </c:pt>
                <c:pt idx="1">
                  <c:v>960.25599999999997</c:v>
                </c:pt>
                <c:pt idx="2">
                  <c:v>944.87200000000007</c:v>
                </c:pt>
                <c:pt idx="3">
                  <c:v>914.10300000000007</c:v>
                </c:pt>
                <c:pt idx="4">
                  <c:v>883.33299999999997</c:v>
                </c:pt>
                <c:pt idx="5">
                  <c:v>848.71799999999996</c:v>
                </c:pt>
                <c:pt idx="6">
                  <c:v>798.71799999999996</c:v>
                </c:pt>
                <c:pt idx="7">
                  <c:v>775.64099999999996</c:v>
                </c:pt>
                <c:pt idx="8">
                  <c:v>744.87200000000007</c:v>
                </c:pt>
                <c:pt idx="9">
                  <c:v>714.10300000000007</c:v>
                </c:pt>
                <c:pt idx="10">
                  <c:v>664.10300000000007</c:v>
                </c:pt>
                <c:pt idx="11">
                  <c:v>617.94899999999996</c:v>
                </c:pt>
                <c:pt idx="12">
                  <c:v>571.79499999999996</c:v>
                </c:pt>
                <c:pt idx="13">
                  <c:v>529.48700000000008</c:v>
                </c:pt>
                <c:pt idx="14">
                  <c:v>510.25599999999997</c:v>
                </c:pt>
                <c:pt idx="15">
                  <c:v>510.25599999999997</c:v>
                </c:pt>
                <c:pt idx="16">
                  <c:v>510.25599999999997</c:v>
                </c:pt>
                <c:pt idx="17">
                  <c:v>514.10299999999995</c:v>
                </c:pt>
                <c:pt idx="18">
                  <c:v>514.10299999999995</c:v>
                </c:pt>
                <c:pt idx="19">
                  <c:v>529.48700000000008</c:v>
                </c:pt>
                <c:pt idx="20">
                  <c:v>541.02600000000007</c:v>
                </c:pt>
                <c:pt idx="21">
                  <c:v>552.56399999999996</c:v>
                </c:pt>
                <c:pt idx="22">
                  <c:v>556.41</c:v>
                </c:pt>
                <c:pt idx="23">
                  <c:v>560.25599999999997</c:v>
                </c:pt>
                <c:pt idx="24">
                  <c:v>579.48700000000008</c:v>
                </c:pt>
                <c:pt idx="25">
                  <c:v>621.79499999999996</c:v>
                </c:pt>
                <c:pt idx="26">
                  <c:v>664.10300000000007</c:v>
                </c:pt>
                <c:pt idx="27">
                  <c:v>691.02599999999995</c:v>
                </c:pt>
                <c:pt idx="28">
                  <c:v>552.56399999999996</c:v>
                </c:pt>
                <c:pt idx="29">
                  <c:v>498.71800000000002</c:v>
                </c:pt>
                <c:pt idx="30">
                  <c:v>460.25599999999997</c:v>
                </c:pt>
                <c:pt idx="31">
                  <c:v>383.33300000000003</c:v>
                </c:pt>
                <c:pt idx="32">
                  <c:v>421.79499999999996</c:v>
                </c:pt>
                <c:pt idx="33">
                  <c:v>441.02600000000001</c:v>
                </c:pt>
                <c:pt idx="34">
                  <c:v>364.10300000000001</c:v>
                </c:pt>
                <c:pt idx="35">
                  <c:v>325.64100000000002</c:v>
                </c:pt>
                <c:pt idx="36">
                  <c:v>314.10300000000001</c:v>
                </c:pt>
                <c:pt idx="37">
                  <c:v>302.56399999999996</c:v>
                </c:pt>
                <c:pt idx="38">
                  <c:v>321.79499999999996</c:v>
                </c:pt>
                <c:pt idx="39">
                  <c:v>367.94899999999996</c:v>
                </c:pt>
                <c:pt idx="40">
                  <c:v>414.10300000000001</c:v>
                </c:pt>
                <c:pt idx="41">
                  <c:v>456.40999999999997</c:v>
                </c:pt>
                <c:pt idx="42">
                  <c:v>491.02600000000001</c:v>
                </c:pt>
                <c:pt idx="43">
                  <c:v>360.25599999999997</c:v>
                </c:pt>
                <c:pt idx="44">
                  <c:v>321.79499999999996</c:v>
                </c:pt>
                <c:pt idx="45">
                  <c:v>291.02600000000001</c:v>
                </c:pt>
                <c:pt idx="46">
                  <c:v>267.94899999999996</c:v>
                </c:pt>
                <c:pt idx="47">
                  <c:v>252.56399999999999</c:v>
                </c:pt>
                <c:pt idx="48">
                  <c:v>252.56399999999999</c:v>
                </c:pt>
                <c:pt idx="49">
                  <c:v>256.40999999999997</c:v>
                </c:pt>
                <c:pt idx="50">
                  <c:v>287.18</c:v>
                </c:pt>
                <c:pt idx="51">
                  <c:v>314.10300000000001</c:v>
                </c:pt>
                <c:pt idx="52">
                  <c:v>348.71800000000002</c:v>
                </c:pt>
                <c:pt idx="53">
                  <c:v>375.64100000000002</c:v>
                </c:pt>
                <c:pt idx="54">
                  <c:v>406.40999999999997</c:v>
                </c:pt>
                <c:pt idx="55">
                  <c:v>421.79499999999996</c:v>
                </c:pt>
                <c:pt idx="56">
                  <c:v>444.87200000000001</c:v>
                </c:pt>
                <c:pt idx="57">
                  <c:v>460.25599999999997</c:v>
                </c:pt>
                <c:pt idx="58">
                  <c:v>467.94899999999996</c:v>
                </c:pt>
                <c:pt idx="59">
                  <c:v>479.48700000000002</c:v>
                </c:pt>
                <c:pt idx="60">
                  <c:v>537.18000000000006</c:v>
                </c:pt>
                <c:pt idx="61">
                  <c:v>606.41</c:v>
                </c:pt>
                <c:pt idx="62">
                  <c:v>644.87200000000007</c:v>
                </c:pt>
                <c:pt idx="63">
                  <c:v>694.87200000000007</c:v>
                </c:pt>
                <c:pt idx="64">
                  <c:v>798.71799999999996</c:v>
                </c:pt>
                <c:pt idx="65">
                  <c:v>841.02599999999995</c:v>
                </c:pt>
                <c:pt idx="66">
                  <c:v>852.56399999999996</c:v>
                </c:pt>
                <c:pt idx="67">
                  <c:v>852.56399999999996</c:v>
                </c:pt>
                <c:pt idx="68">
                  <c:v>860.25599999999997</c:v>
                </c:pt>
                <c:pt idx="69">
                  <c:v>860.25599999999997</c:v>
                </c:pt>
                <c:pt idx="70">
                  <c:v>829.48700000000008</c:v>
                </c:pt>
                <c:pt idx="71">
                  <c:v>806.41000000000008</c:v>
                </c:pt>
                <c:pt idx="72">
                  <c:v>787.18000000000006</c:v>
                </c:pt>
                <c:pt idx="73">
                  <c:v>787.18000000000006</c:v>
                </c:pt>
                <c:pt idx="74">
                  <c:v>775.64099999999996</c:v>
                </c:pt>
                <c:pt idx="75">
                  <c:v>598.71799999999996</c:v>
                </c:pt>
                <c:pt idx="76">
                  <c:v>621.79499999999996</c:v>
                </c:pt>
                <c:pt idx="77">
                  <c:v>625.64100000000008</c:v>
                </c:pt>
                <c:pt idx="78">
                  <c:v>994.87200000000007</c:v>
                </c:pt>
                <c:pt idx="79">
                  <c:v>991.02599999999995</c:v>
                </c:pt>
                <c:pt idx="80">
                  <c:v>975.64099999999996</c:v>
                </c:pt>
                <c:pt idx="81">
                  <c:v>941.02599999999995</c:v>
                </c:pt>
                <c:pt idx="82">
                  <c:v>910.25599999999997</c:v>
                </c:pt>
                <c:pt idx="83">
                  <c:v>864.10300000000007</c:v>
                </c:pt>
                <c:pt idx="84">
                  <c:v>833.33299999999997</c:v>
                </c:pt>
                <c:pt idx="85">
                  <c:v>791.02599999999995</c:v>
                </c:pt>
                <c:pt idx="86">
                  <c:v>752.56399999999996</c:v>
                </c:pt>
                <c:pt idx="87">
                  <c:v>714.10300000000007</c:v>
                </c:pt>
                <c:pt idx="88">
                  <c:v>667.94899999999996</c:v>
                </c:pt>
                <c:pt idx="89">
                  <c:v>602.56399999999996</c:v>
                </c:pt>
                <c:pt idx="90">
                  <c:v>552.56399999999996</c:v>
                </c:pt>
                <c:pt idx="91">
                  <c:v>514.10299999999995</c:v>
                </c:pt>
                <c:pt idx="92">
                  <c:v>475.64100000000002</c:v>
                </c:pt>
                <c:pt idx="93">
                  <c:v>460.25599999999997</c:v>
                </c:pt>
                <c:pt idx="94">
                  <c:v>425.64100000000002</c:v>
                </c:pt>
                <c:pt idx="95">
                  <c:v>398.71800000000002</c:v>
                </c:pt>
                <c:pt idx="96">
                  <c:v>367.94899999999996</c:v>
                </c:pt>
                <c:pt idx="97">
                  <c:v>337.18000000000006</c:v>
                </c:pt>
                <c:pt idx="98">
                  <c:v>406.40999999999997</c:v>
                </c:pt>
                <c:pt idx="99">
                  <c:v>383.33300000000003</c:v>
                </c:pt>
                <c:pt idx="100">
                  <c:v>337.18000000000006</c:v>
                </c:pt>
                <c:pt idx="101">
                  <c:v>291.02600000000001</c:v>
                </c:pt>
                <c:pt idx="102">
                  <c:v>252.56399999999999</c:v>
                </c:pt>
                <c:pt idx="103">
                  <c:v>241.02599999999998</c:v>
                </c:pt>
                <c:pt idx="104">
                  <c:v>229.48699999999999</c:v>
                </c:pt>
                <c:pt idx="105">
                  <c:v>229.48699999999999</c:v>
                </c:pt>
                <c:pt idx="106">
                  <c:v>221.79500000000002</c:v>
                </c:pt>
                <c:pt idx="107">
                  <c:v>202.56399999999999</c:v>
                </c:pt>
                <c:pt idx="108">
                  <c:v>191.02599999999998</c:v>
                </c:pt>
                <c:pt idx="109">
                  <c:v>191.02599999999998</c:v>
                </c:pt>
                <c:pt idx="110">
                  <c:v>183.33300000000003</c:v>
                </c:pt>
                <c:pt idx="111">
                  <c:v>183.33300000000003</c:v>
                </c:pt>
                <c:pt idx="112">
                  <c:v>183.33300000000003</c:v>
                </c:pt>
                <c:pt idx="113">
                  <c:v>175.64099999999999</c:v>
                </c:pt>
                <c:pt idx="114">
                  <c:v>160.256</c:v>
                </c:pt>
                <c:pt idx="115">
                  <c:v>137.18</c:v>
                </c:pt>
                <c:pt idx="116">
                  <c:v>148.71800000000002</c:v>
                </c:pt>
                <c:pt idx="117">
                  <c:v>148.71800000000002</c:v>
                </c:pt>
                <c:pt idx="118">
                  <c:v>148.71800000000002</c:v>
                </c:pt>
                <c:pt idx="119">
                  <c:v>141.02600000000001</c:v>
                </c:pt>
                <c:pt idx="120">
                  <c:v>125.64099999999999</c:v>
                </c:pt>
                <c:pt idx="121">
                  <c:v>110.256</c:v>
                </c:pt>
                <c:pt idx="122">
                  <c:v>98.718000000000004</c:v>
                </c:pt>
                <c:pt idx="123">
                  <c:v>60.256</c:v>
                </c:pt>
                <c:pt idx="124">
                  <c:v>94.872</c:v>
                </c:pt>
                <c:pt idx="125">
                  <c:v>102.56399999999999</c:v>
                </c:pt>
                <c:pt idx="126">
                  <c:v>102.56399999999999</c:v>
                </c:pt>
                <c:pt idx="127">
                  <c:v>106.41</c:v>
                </c:pt>
                <c:pt idx="128">
                  <c:v>106.41</c:v>
                </c:pt>
                <c:pt idx="129">
                  <c:v>106.41</c:v>
                </c:pt>
                <c:pt idx="130">
                  <c:v>106.41</c:v>
                </c:pt>
                <c:pt idx="131">
                  <c:v>106.41</c:v>
                </c:pt>
                <c:pt idx="132">
                  <c:v>106.41</c:v>
                </c:pt>
                <c:pt idx="133">
                  <c:v>87.18</c:v>
                </c:pt>
                <c:pt idx="134">
                  <c:v>52.564</c:v>
                </c:pt>
                <c:pt idx="135">
                  <c:v>29.487000000000002</c:v>
                </c:pt>
                <c:pt idx="136">
                  <c:v>257.69200000000001</c:v>
                </c:pt>
                <c:pt idx="137">
                  <c:v>253.846</c:v>
                </c:pt>
                <c:pt idx="138">
                  <c:v>415.38499999999999</c:v>
                </c:pt>
                <c:pt idx="139">
                  <c:v>957.69200000000001</c:v>
                </c:pt>
                <c:pt idx="140">
                  <c:v>950</c:v>
                </c:pt>
                <c:pt idx="141">
                  <c:v>926.923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598-402B-8F05-6C36C84FD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4193808"/>
        <c:axId val="697417168"/>
      </c:lineChart>
      <c:dateAx>
        <c:axId val="13841938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7417168"/>
        <c:crosses val="autoZero"/>
        <c:auto val="1"/>
        <c:lblOffset val="100"/>
        <c:baseTimeUnit val="days"/>
        <c:majorUnit val="1"/>
        <c:majorTimeUnit val="months"/>
      </c:dateAx>
      <c:valAx>
        <c:axId val="697417168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93808"/>
        <c:crosses val="autoZero"/>
        <c:crossBetween val="between"/>
      </c:valAx>
      <c:spPr>
        <a:noFill/>
        <a:ln w="6350">
          <a:noFill/>
        </a:ln>
        <a:effectLst/>
      </c:spPr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>
                <a:solidFill>
                  <a:schemeClr val="tx1">
                    <a:lumMod val="50000"/>
                  </a:schemeClr>
                </a:solidFill>
                <a:latin typeface="Aptos SemiBold" panose="020B0004020202020204" pitchFamily="34" charset="0"/>
              </a:rPr>
              <a:t>Evolution du nombre d'</a:t>
            </a:r>
            <a:r>
              <a:rPr lang="fr-CH">
                <a:solidFill>
                  <a:srgbClr val="FF0000"/>
                </a:solidFill>
                <a:latin typeface="Aptos SemiBold" panose="020B0004020202020204" pitchFamily="34" charset="0"/>
              </a:rPr>
              <a:t>entrées</a:t>
            </a:r>
            <a:r>
              <a:rPr lang="fr-CH">
                <a:solidFill>
                  <a:schemeClr val="tx1">
                    <a:lumMod val="50000"/>
                  </a:schemeClr>
                </a:solidFill>
                <a:latin typeface="Aptos SemiBold" panose="020B0004020202020204" pitchFamily="34" charset="0"/>
              </a:rPr>
              <a:t> et de </a:t>
            </a:r>
            <a:r>
              <a:rPr lang="fr-CH">
                <a:solidFill>
                  <a:schemeClr val="accent2"/>
                </a:solidFill>
                <a:latin typeface="Aptos SemiBold" panose="020B0004020202020204" pitchFamily="34" charset="0"/>
              </a:rPr>
              <a:t>prêts</a:t>
            </a:r>
            <a:r>
              <a:rPr lang="fr-CH">
                <a:solidFill>
                  <a:schemeClr val="tx1">
                    <a:lumMod val="50000"/>
                  </a:schemeClr>
                </a:solidFill>
                <a:latin typeface="Aptos SemiBold" panose="020B0004020202020204" pitchFamily="34" charset="0"/>
              </a:rPr>
              <a:t> physiques à la Bibliothèque</a:t>
            </a:r>
            <a:br>
              <a:rPr lang="fr-CH">
                <a:solidFill>
                  <a:schemeClr val="tx1">
                    <a:lumMod val="50000"/>
                  </a:schemeClr>
                </a:solidFill>
              </a:rPr>
            </a:br>
            <a:r>
              <a:rPr lang="fr-CH" sz="1000">
                <a:solidFill>
                  <a:schemeClr val="tx1">
                    <a:lumMod val="50000"/>
                  </a:schemeClr>
                </a:solidFill>
              </a:rPr>
              <a:t>01.01.2026..23.05.2026</a:t>
            </a:r>
          </a:p>
        </c:rich>
      </c:tx>
      <c:layout>
        <c:manualLayout>
          <c:xMode val="edge"/>
          <c:yMode val="edge"/>
          <c:x val="1.3275612318126734E-2"/>
          <c:y val="1.846251358642321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3558248953396143E-2"/>
          <c:y val="0.1588864705793637"/>
          <c:w val="0.92861554292224247"/>
          <c:h val="0.70346563444963095"/>
        </c:manualLayout>
      </c:layout>
      <c:areaChart>
        <c:grouping val="standard"/>
        <c:varyColors val="0"/>
        <c:ser>
          <c:idx val="2"/>
          <c:order val="0"/>
          <c:tx>
            <c:strRef>
              <c:f>SISB_Data_Stats_Formules!$B$6</c:f>
              <c:strCache>
                <c:ptCount val="1"/>
                <c:pt idx="0">
                  <c:v>Entrées physiques</c:v>
                </c:pt>
              </c:strCache>
            </c:strRef>
          </c:tx>
          <c:spPr>
            <a:solidFill>
              <a:schemeClr val="accent2">
                <a:alpha val="19000"/>
              </a:schemeClr>
            </a:solidFill>
            <a:ln w="12700">
              <a:solidFill>
                <a:schemeClr val="accent2"/>
              </a:solidFill>
            </a:ln>
          </c:spPr>
          <c:cat>
            <c:numRef>
              <c:f>SISB_Data_Stats_Formules!$C$5:$EN$5</c:f>
              <c:numCache>
                <c:formatCode>m/d/yyyy</c:formatCode>
                <c:ptCount val="142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  <c:pt idx="90">
                  <c:v>46113</c:v>
                </c:pt>
                <c:pt idx="91">
                  <c:v>46114</c:v>
                </c:pt>
                <c:pt idx="92">
                  <c:v>46115</c:v>
                </c:pt>
                <c:pt idx="93">
                  <c:v>46116</c:v>
                </c:pt>
                <c:pt idx="94">
                  <c:v>46117</c:v>
                </c:pt>
                <c:pt idx="95">
                  <c:v>46118</c:v>
                </c:pt>
                <c:pt idx="96">
                  <c:v>46119</c:v>
                </c:pt>
                <c:pt idx="97">
                  <c:v>46120</c:v>
                </c:pt>
                <c:pt idx="98">
                  <c:v>46121</c:v>
                </c:pt>
                <c:pt idx="99">
                  <c:v>46122</c:v>
                </c:pt>
                <c:pt idx="100">
                  <c:v>46123</c:v>
                </c:pt>
                <c:pt idx="101">
                  <c:v>46124</c:v>
                </c:pt>
                <c:pt idx="102">
                  <c:v>46125</c:v>
                </c:pt>
                <c:pt idx="103">
                  <c:v>46126</c:v>
                </c:pt>
                <c:pt idx="104">
                  <c:v>46127</c:v>
                </c:pt>
                <c:pt idx="105">
                  <c:v>46128</c:v>
                </c:pt>
                <c:pt idx="106">
                  <c:v>46129</c:v>
                </c:pt>
                <c:pt idx="107">
                  <c:v>46130</c:v>
                </c:pt>
                <c:pt idx="108">
                  <c:v>46131</c:v>
                </c:pt>
                <c:pt idx="109">
                  <c:v>46132</c:v>
                </c:pt>
                <c:pt idx="110">
                  <c:v>46133</c:v>
                </c:pt>
                <c:pt idx="111">
                  <c:v>46134</c:v>
                </c:pt>
                <c:pt idx="112">
                  <c:v>46135</c:v>
                </c:pt>
                <c:pt idx="113">
                  <c:v>46136</c:v>
                </c:pt>
                <c:pt idx="114">
                  <c:v>46137</c:v>
                </c:pt>
                <c:pt idx="115">
                  <c:v>46138</c:v>
                </c:pt>
                <c:pt idx="116">
                  <c:v>46139</c:v>
                </c:pt>
                <c:pt idx="117">
                  <c:v>46140</c:v>
                </c:pt>
                <c:pt idx="118">
                  <c:v>46141</c:v>
                </c:pt>
                <c:pt idx="119">
                  <c:v>46142</c:v>
                </c:pt>
                <c:pt idx="120">
                  <c:v>46143</c:v>
                </c:pt>
                <c:pt idx="121">
                  <c:v>46144</c:v>
                </c:pt>
                <c:pt idx="122">
                  <c:v>46145</c:v>
                </c:pt>
                <c:pt idx="123">
                  <c:v>46146</c:v>
                </c:pt>
                <c:pt idx="124">
                  <c:v>46147</c:v>
                </c:pt>
                <c:pt idx="125">
                  <c:v>46148</c:v>
                </c:pt>
                <c:pt idx="126">
                  <c:v>46149</c:v>
                </c:pt>
                <c:pt idx="127">
                  <c:v>46150</c:v>
                </c:pt>
                <c:pt idx="128">
                  <c:v>46151</c:v>
                </c:pt>
                <c:pt idx="129">
                  <c:v>46152</c:v>
                </c:pt>
                <c:pt idx="130">
                  <c:v>46153</c:v>
                </c:pt>
                <c:pt idx="131">
                  <c:v>46154</c:v>
                </c:pt>
                <c:pt idx="132">
                  <c:v>46155</c:v>
                </c:pt>
                <c:pt idx="133">
                  <c:v>46156</c:v>
                </c:pt>
                <c:pt idx="134">
                  <c:v>46157</c:v>
                </c:pt>
                <c:pt idx="135">
                  <c:v>46158</c:v>
                </c:pt>
                <c:pt idx="136">
                  <c:v>46159</c:v>
                </c:pt>
                <c:pt idx="137">
                  <c:v>46160</c:v>
                </c:pt>
                <c:pt idx="138">
                  <c:v>46161</c:v>
                </c:pt>
                <c:pt idx="139">
                  <c:v>46162</c:v>
                </c:pt>
                <c:pt idx="140">
                  <c:v>46163</c:v>
                </c:pt>
                <c:pt idx="141">
                  <c:v>46164</c:v>
                </c:pt>
              </c:numCache>
            </c:numRef>
          </c:cat>
          <c:val>
            <c:numRef>
              <c:f>SISB_Data_Stats_Formules!$C$6:$EN$6</c:f>
              <c:numCache>
                <c:formatCode>0</c:formatCode>
                <c:ptCount val="142"/>
                <c:pt idx="0">
                  <c:v>553.846</c:v>
                </c:pt>
                <c:pt idx="1">
                  <c:v>515.38499999999999</c:v>
                </c:pt>
                <c:pt idx="2">
                  <c:v>461.53799999999995</c:v>
                </c:pt>
                <c:pt idx="3">
                  <c:v>428.20500000000004</c:v>
                </c:pt>
                <c:pt idx="4">
                  <c:v>407.69200000000001</c:v>
                </c:pt>
                <c:pt idx="5">
                  <c:v>387.17899999999997</c:v>
                </c:pt>
                <c:pt idx="6">
                  <c:v>356.40999999999997</c:v>
                </c:pt>
                <c:pt idx="7">
                  <c:v>330.76900000000001</c:v>
                </c:pt>
                <c:pt idx="8">
                  <c:v>289.74399999999997</c:v>
                </c:pt>
                <c:pt idx="9">
                  <c:v>261.53800000000001</c:v>
                </c:pt>
                <c:pt idx="10">
                  <c:v>230.76899999999998</c:v>
                </c:pt>
                <c:pt idx="11">
                  <c:v>223.077</c:v>
                </c:pt>
                <c:pt idx="12">
                  <c:v>223.077</c:v>
                </c:pt>
                <c:pt idx="13">
                  <c:v>233.33300000000003</c:v>
                </c:pt>
                <c:pt idx="14">
                  <c:v>258.97399999999999</c:v>
                </c:pt>
                <c:pt idx="15">
                  <c:v>294.87200000000001</c:v>
                </c:pt>
                <c:pt idx="16">
                  <c:v>328.20500000000004</c:v>
                </c:pt>
                <c:pt idx="17">
                  <c:v>353.846</c:v>
                </c:pt>
                <c:pt idx="18">
                  <c:v>402.56399999999996</c:v>
                </c:pt>
                <c:pt idx="19">
                  <c:v>441.02600000000001</c:v>
                </c:pt>
                <c:pt idx="20">
                  <c:v>466.66699999999997</c:v>
                </c:pt>
                <c:pt idx="21">
                  <c:v>500</c:v>
                </c:pt>
                <c:pt idx="22">
                  <c:v>530.76900000000001</c:v>
                </c:pt>
                <c:pt idx="23">
                  <c:v>566.66700000000003</c:v>
                </c:pt>
                <c:pt idx="24">
                  <c:v>592.30799999999999</c:v>
                </c:pt>
                <c:pt idx="25">
                  <c:v>612.82100000000003</c:v>
                </c:pt>
                <c:pt idx="26">
                  <c:v>615.38499999999999</c:v>
                </c:pt>
                <c:pt idx="27">
                  <c:v>617.94899999999996</c:v>
                </c:pt>
                <c:pt idx="28">
                  <c:v>574.35899999999992</c:v>
                </c:pt>
                <c:pt idx="29">
                  <c:v>548.71799999999996</c:v>
                </c:pt>
                <c:pt idx="30">
                  <c:v>525.64100000000008</c:v>
                </c:pt>
                <c:pt idx="31">
                  <c:v>482.05100000000004</c:v>
                </c:pt>
                <c:pt idx="32">
                  <c:v>494.87200000000001</c:v>
                </c:pt>
                <c:pt idx="33">
                  <c:v>510.25599999999997</c:v>
                </c:pt>
                <c:pt idx="34">
                  <c:v>453.846</c:v>
                </c:pt>
                <c:pt idx="35">
                  <c:v>428.20500000000004</c:v>
                </c:pt>
                <c:pt idx="36">
                  <c:v>387.17899999999997</c:v>
                </c:pt>
                <c:pt idx="37">
                  <c:v>351.28199999999998</c:v>
                </c:pt>
                <c:pt idx="38">
                  <c:v>325.64100000000002</c:v>
                </c:pt>
                <c:pt idx="39">
                  <c:v>300</c:v>
                </c:pt>
                <c:pt idx="40">
                  <c:v>335.89699999999999</c:v>
                </c:pt>
                <c:pt idx="41">
                  <c:v>366.66699999999997</c:v>
                </c:pt>
                <c:pt idx="42">
                  <c:v>382.05100000000004</c:v>
                </c:pt>
                <c:pt idx="43">
                  <c:v>297.43600000000004</c:v>
                </c:pt>
                <c:pt idx="44">
                  <c:v>297.43600000000004</c:v>
                </c:pt>
                <c:pt idx="45">
                  <c:v>300</c:v>
                </c:pt>
                <c:pt idx="46">
                  <c:v>320.51299999999998</c:v>
                </c:pt>
                <c:pt idx="47">
                  <c:v>358.97399999999999</c:v>
                </c:pt>
                <c:pt idx="48">
                  <c:v>410.25599999999997</c:v>
                </c:pt>
                <c:pt idx="49">
                  <c:v>441.02600000000001</c:v>
                </c:pt>
                <c:pt idx="50">
                  <c:v>471.79499999999996</c:v>
                </c:pt>
                <c:pt idx="51">
                  <c:v>494.87200000000001</c:v>
                </c:pt>
                <c:pt idx="52">
                  <c:v>515.38499999999999</c:v>
                </c:pt>
                <c:pt idx="53">
                  <c:v>535.89700000000005</c:v>
                </c:pt>
                <c:pt idx="54">
                  <c:v>551.28200000000004</c:v>
                </c:pt>
                <c:pt idx="55">
                  <c:v>566.66700000000003</c:v>
                </c:pt>
                <c:pt idx="56">
                  <c:v>592.30799999999999</c:v>
                </c:pt>
                <c:pt idx="57">
                  <c:v>623.077</c:v>
                </c:pt>
                <c:pt idx="58">
                  <c:v>648.71799999999996</c:v>
                </c:pt>
                <c:pt idx="59">
                  <c:v>679.48700000000008</c:v>
                </c:pt>
                <c:pt idx="60">
                  <c:v>705.12799999999993</c:v>
                </c:pt>
                <c:pt idx="61">
                  <c:v>715.38499999999999</c:v>
                </c:pt>
                <c:pt idx="62">
                  <c:v>715.38499999999999</c:v>
                </c:pt>
                <c:pt idx="63">
                  <c:v>694.87200000000007</c:v>
                </c:pt>
                <c:pt idx="64">
                  <c:v>469.23099999999999</c:v>
                </c:pt>
                <c:pt idx="65">
                  <c:v>482.05100000000004</c:v>
                </c:pt>
                <c:pt idx="66">
                  <c:v>500</c:v>
                </c:pt>
                <c:pt idx="67">
                  <c:v>530.76900000000001</c:v>
                </c:pt>
                <c:pt idx="68">
                  <c:v>553.846</c:v>
                </c:pt>
                <c:pt idx="69">
                  <c:v>566.66700000000003</c:v>
                </c:pt>
                <c:pt idx="70">
                  <c:v>561.53800000000001</c:v>
                </c:pt>
                <c:pt idx="71">
                  <c:v>538.46199999999999</c:v>
                </c:pt>
                <c:pt idx="72">
                  <c:v>512.82100000000003</c:v>
                </c:pt>
                <c:pt idx="73">
                  <c:v>500</c:v>
                </c:pt>
                <c:pt idx="74">
                  <c:v>479.48700000000002</c:v>
                </c:pt>
                <c:pt idx="75">
                  <c:v>297.43600000000004</c:v>
                </c:pt>
                <c:pt idx="76">
                  <c:v>297.43600000000004</c:v>
                </c:pt>
                <c:pt idx="77">
                  <c:v>312.82100000000003</c:v>
                </c:pt>
                <c:pt idx="78">
                  <c:v>579.48700000000008</c:v>
                </c:pt>
                <c:pt idx="79">
                  <c:v>617.94899999999996</c:v>
                </c:pt>
                <c:pt idx="80">
                  <c:v>648.71799999999996</c:v>
                </c:pt>
                <c:pt idx="81">
                  <c:v>684.61500000000001</c:v>
                </c:pt>
                <c:pt idx="82">
                  <c:v>707.69200000000001</c:v>
                </c:pt>
                <c:pt idx="83">
                  <c:v>720.51299999999992</c:v>
                </c:pt>
                <c:pt idx="84">
                  <c:v>738.46199999999999</c:v>
                </c:pt>
                <c:pt idx="85">
                  <c:v>751.28200000000004</c:v>
                </c:pt>
                <c:pt idx="86">
                  <c:v>766.66700000000003</c:v>
                </c:pt>
                <c:pt idx="87">
                  <c:v>776.923</c:v>
                </c:pt>
                <c:pt idx="88">
                  <c:v>797.43600000000004</c:v>
                </c:pt>
                <c:pt idx="89">
                  <c:v>817.94899999999996</c:v>
                </c:pt>
                <c:pt idx="90">
                  <c:v>833.33299999999997</c:v>
                </c:pt>
                <c:pt idx="91">
                  <c:v>851.28200000000004</c:v>
                </c:pt>
                <c:pt idx="92">
                  <c:v>864.10300000000007</c:v>
                </c:pt>
                <c:pt idx="93">
                  <c:v>879.48700000000008</c:v>
                </c:pt>
                <c:pt idx="94">
                  <c:v>894.87200000000007</c:v>
                </c:pt>
                <c:pt idx="95">
                  <c:v>933.33299999999997</c:v>
                </c:pt>
                <c:pt idx="96">
                  <c:v>953.846</c:v>
                </c:pt>
                <c:pt idx="97">
                  <c:v>982.05100000000004</c:v>
                </c:pt>
                <c:pt idx="98">
                  <c:v>566.66700000000003</c:v>
                </c:pt>
                <c:pt idx="99">
                  <c:v>592.30799999999999</c:v>
                </c:pt>
                <c:pt idx="100">
                  <c:v>607.69200000000001</c:v>
                </c:pt>
                <c:pt idx="101">
                  <c:v>630.76900000000001</c:v>
                </c:pt>
                <c:pt idx="102">
                  <c:v>641.02599999999995</c:v>
                </c:pt>
                <c:pt idx="103">
                  <c:v>643.58999999999992</c:v>
                </c:pt>
                <c:pt idx="104">
                  <c:v>743.58999999999992</c:v>
                </c:pt>
                <c:pt idx="105">
                  <c:v>712.82100000000003</c:v>
                </c:pt>
                <c:pt idx="106">
                  <c:v>679.48700000000008</c:v>
                </c:pt>
                <c:pt idx="107">
                  <c:v>658.97400000000005</c:v>
                </c:pt>
                <c:pt idx="108">
                  <c:v>630.76900000000001</c:v>
                </c:pt>
                <c:pt idx="109">
                  <c:v>612.82100000000003</c:v>
                </c:pt>
                <c:pt idx="110">
                  <c:v>587.17899999999997</c:v>
                </c:pt>
                <c:pt idx="111">
                  <c:v>551.28200000000004</c:v>
                </c:pt>
                <c:pt idx="112">
                  <c:v>523.077</c:v>
                </c:pt>
                <c:pt idx="113">
                  <c:v>497.43600000000004</c:v>
                </c:pt>
                <c:pt idx="114">
                  <c:v>474.35899999999998</c:v>
                </c:pt>
                <c:pt idx="115">
                  <c:v>448.71800000000002</c:v>
                </c:pt>
                <c:pt idx="116">
                  <c:v>487.17899999999997</c:v>
                </c:pt>
                <c:pt idx="117">
                  <c:v>512.82100000000003</c:v>
                </c:pt>
                <c:pt idx="118">
                  <c:v>541.02600000000007</c:v>
                </c:pt>
                <c:pt idx="119">
                  <c:v>561.53800000000001</c:v>
                </c:pt>
                <c:pt idx="120">
                  <c:v>520.51299999999992</c:v>
                </c:pt>
                <c:pt idx="121">
                  <c:v>487.17899999999997</c:v>
                </c:pt>
                <c:pt idx="122">
                  <c:v>471.79499999999996</c:v>
                </c:pt>
                <c:pt idx="123">
                  <c:v>461.53799999999995</c:v>
                </c:pt>
                <c:pt idx="124">
                  <c:v>505.12799999999999</c:v>
                </c:pt>
                <c:pt idx="125">
                  <c:v>538.46199999999999</c:v>
                </c:pt>
                <c:pt idx="126">
                  <c:v>574.35899999999992</c:v>
                </c:pt>
                <c:pt idx="127">
                  <c:v>600</c:v>
                </c:pt>
                <c:pt idx="128">
                  <c:v>641.02599999999995</c:v>
                </c:pt>
                <c:pt idx="129">
                  <c:v>669.23099999999999</c:v>
                </c:pt>
                <c:pt idx="130">
                  <c:v>712.82100000000003</c:v>
                </c:pt>
                <c:pt idx="131">
                  <c:v>743.58999999999992</c:v>
                </c:pt>
                <c:pt idx="132">
                  <c:v>782.05100000000004</c:v>
                </c:pt>
                <c:pt idx="133">
                  <c:v>679.48700000000008</c:v>
                </c:pt>
                <c:pt idx="134">
                  <c:v>684.61500000000001</c:v>
                </c:pt>
                <c:pt idx="135">
                  <c:v>682.05100000000004</c:v>
                </c:pt>
                <c:pt idx="136">
                  <c:v>376.923</c:v>
                </c:pt>
                <c:pt idx="137">
                  <c:v>394.87200000000001</c:v>
                </c:pt>
                <c:pt idx="138">
                  <c:v>912.82100000000003</c:v>
                </c:pt>
                <c:pt idx="139">
                  <c:v>500</c:v>
                </c:pt>
                <c:pt idx="140">
                  <c:v>479.48700000000002</c:v>
                </c:pt>
                <c:pt idx="141">
                  <c:v>441.02600000000001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1D-4B73-85C2-F5757346BD55}"/>
            </c:ext>
          </c:extLst>
        </c:ser>
        <c:ser>
          <c:idx val="3"/>
          <c:order val="1"/>
          <c:tx>
            <c:strRef>
              <c:f>SISB_Data_Stats_Formules!$B$7</c:f>
              <c:strCache>
                <c:ptCount val="1"/>
                <c:pt idx="0">
                  <c:v>Prêts physiques</c:v>
                </c:pt>
              </c:strCache>
            </c:strRef>
          </c:tx>
          <c:spPr>
            <a:solidFill>
              <a:schemeClr val="accent1">
                <a:alpha val="17000"/>
              </a:schemeClr>
            </a:solidFill>
            <a:ln w="12700">
              <a:solidFill>
                <a:schemeClr val="accent1"/>
              </a:solidFill>
            </a:ln>
          </c:spPr>
          <c:cat>
            <c:numRef>
              <c:f>SISB_Data_Stats_Formules!$C$5:$EN$5</c:f>
              <c:numCache>
                <c:formatCode>m/d/yyyy</c:formatCode>
                <c:ptCount val="142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  <c:pt idx="90">
                  <c:v>46113</c:v>
                </c:pt>
                <c:pt idx="91">
                  <c:v>46114</c:v>
                </c:pt>
                <c:pt idx="92">
                  <c:v>46115</c:v>
                </c:pt>
                <c:pt idx="93">
                  <c:v>46116</c:v>
                </c:pt>
                <c:pt idx="94">
                  <c:v>46117</c:v>
                </c:pt>
                <c:pt idx="95">
                  <c:v>46118</c:v>
                </c:pt>
                <c:pt idx="96">
                  <c:v>46119</c:v>
                </c:pt>
                <c:pt idx="97">
                  <c:v>46120</c:v>
                </c:pt>
                <c:pt idx="98">
                  <c:v>46121</c:v>
                </c:pt>
                <c:pt idx="99">
                  <c:v>46122</c:v>
                </c:pt>
                <c:pt idx="100">
                  <c:v>46123</c:v>
                </c:pt>
                <c:pt idx="101">
                  <c:v>46124</c:v>
                </c:pt>
                <c:pt idx="102">
                  <c:v>46125</c:v>
                </c:pt>
                <c:pt idx="103">
                  <c:v>46126</c:v>
                </c:pt>
                <c:pt idx="104">
                  <c:v>46127</c:v>
                </c:pt>
                <c:pt idx="105">
                  <c:v>46128</c:v>
                </c:pt>
                <c:pt idx="106">
                  <c:v>46129</c:v>
                </c:pt>
                <c:pt idx="107">
                  <c:v>46130</c:v>
                </c:pt>
                <c:pt idx="108">
                  <c:v>46131</c:v>
                </c:pt>
                <c:pt idx="109">
                  <c:v>46132</c:v>
                </c:pt>
                <c:pt idx="110">
                  <c:v>46133</c:v>
                </c:pt>
                <c:pt idx="111">
                  <c:v>46134</c:v>
                </c:pt>
                <c:pt idx="112">
                  <c:v>46135</c:v>
                </c:pt>
                <c:pt idx="113">
                  <c:v>46136</c:v>
                </c:pt>
                <c:pt idx="114">
                  <c:v>46137</c:v>
                </c:pt>
                <c:pt idx="115">
                  <c:v>46138</c:v>
                </c:pt>
                <c:pt idx="116">
                  <c:v>46139</c:v>
                </c:pt>
                <c:pt idx="117">
                  <c:v>46140</c:v>
                </c:pt>
                <c:pt idx="118">
                  <c:v>46141</c:v>
                </c:pt>
                <c:pt idx="119">
                  <c:v>46142</c:v>
                </c:pt>
                <c:pt idx="120">
                  <c:v>46143</c:v>
                </c:pt>
                <c:pt idx="121">
                  <c:v>46144</c:v>
                </c:pt>
                <c:pt idx="122">
                  <c:v>46145</c:v>
                </c:pt>
                <c:pt idx="123">
                  <c:v>46146</c:v>
                </c:pt>
                <c:pt idx="124">
                  <c:v>46147</c:v>
                </c:pt>
                <c:pt idx="125">
                  <c:v>46148</c:v>
                </c:pt>
                <c:pt idx="126">
                  <c:v>46149</c:v>
                </c:pt>
                <c:pt idx="127">
                  <c:v>46150</c:v>
                </c:pt>
                <c:pt idx="128">
                  <c:v>46151</c:v>
                </c:pt>
                <c:pt idx="129">
                  <c:v>46152</c:v>
                </c:pt>
                <c:pt idx="130">
                  <c:v>46153</c:v>
                </c:pt>
                <c:pt idx="131">
                  <c:v>46154</c:v>
                </c:pt>
                <c:pt idx="132">
                  <c:v>46155</c:v>
                </c:pt>
                <c:pt idx="133">
                  <c:v>46156</c:v>
                </c:pt>
                <c:pt idx="134">
                  <c:v>46157</c:v>
                </c:pt>
                <c:pt idx="135">
                  <c:v>46158</c:v>
                </c:pt>
                <c:pt idx="136">
                  <c:v>46159</c:v>
                </c:pt>
                <c:pt idx="137">
                  <c:v>46160</c:v>
                </c:pt>
                <c:pt idx="138">
                  <c:v>46161</c:v>
                </c:pt>
                <c:pt idx="139">
                  <c:v>46162</c:v>
                </c:pt>
                <c:pt idx="140">
                  <c:v>46163</c:v>
                </c:pt>
                <c:pt idx="141">
                  <c:v>46164</c:v>
                </c:pt>
              </c:numCache>
            </c:numRef>
          </c:cat>
          <c:val>
            <c:numRef>
              <c:f>SISB_Data_Stats_Formules!$C$7:$EN$7</c:f>
              <c:numCache>
                <c:formatCode>0</c:formatCode>
                <c:ptCount val="142"/>
                <c:pt idx="0">
                  <c:v>971.79500000000007</c:v>
                </c:pt>
                <c:pt idx="1">
                  <c:v>960.25599999999997</c:v>
                </c:pt>
                <c:pt idx="2">
                  <c:v>944.87200000000007</c:v>
                </c:pt>
                <c:pt idx="3">
                  <c:v>914.10300000000007</c:v>
                </c:pt>
                <c:pt idx="4">
                  <c:v>883.33299999999997</c:v>
                </c:pt>
                <c:pt idx="5">
                  <c:v>848.71799999999996</c:v>
                </c:pt>
                <c:pt idx="6">
                  <c:v>798.71799999999996</c:v>
                </c:pt>
                <c:pt idx="7">
                  <c:v>775.64099999999996</c:v>
                </c:pt>
                <c:pt idx="8">
                  <c:v>744.87200000000007</c:v>
                </c:pt>
                <c:pt idx="9">
                  <c:v>714.10300000000007</c:v>
                </c:pt>
                <c:pt idx="10">
                  <c:v>664.10300000000007</c:v>
                </c:pt>
                <c:pt idx="11">
                  <c:v>617.94899999999996</c:v>
                </c:pt>
                <c:pt idx="12">
                  <c:v>571.79499999999996</c:v>
                </c:pt>
                <c:pt idx="13">
                  <c:v>529.48700000000008</c:v>
                </c:pt>
                <c:pt idx="14">
                  <c:v>510.25599999999997</c:v>
                </c:pt>
                <c:pt idx="15">
                  <c:v>510.25599999999997</c:v>
                </c:pt>
                <c:pt idx="16">
                  <c:v>510.25599999999997</c:v>
                </c:pt>
                <c:pt idx="17">
                  <c:v>514.10299999999995</c:v>
                </c:pt>
                <c:pt idx="18">
                  <c:v>514.10299999999995</c:v>
                </c:pt>
                <c:pt idx="19">
                  <c:v>529.48700000000008</c:v>
                </c:pt>
                <c:pt idx="20">
                  <c:v>541.02600000000007</c:v>
                </c:pt>
                <c:pt idx="21">
                  <c:v>552.56399999999996</c:v>
                </c:pt>
                <c:pt idx="22">
                  <c:v>556.41</c:v>
                </c:pt>
                <c:pt idx="23">
                  <c:v>560.25599999999997</c:v>
                </c:pt>
                <c:pt idx="24">
                  <c:v>579.48700000000008</c:v>
                </c:pt>
                <c:pt idx="25">
                  <c:v>621.79499999999996</c:v>
                </c:pt>
                <c:pt idx="26">
                  <c:v>664.10300000000007</c:v>
                </c:pt>
                <c:pt idx="27">
                  <c:v>691.02599999999995</c:v>
                </c:pt>
                <c:pt idx="28">
                  <c:v>552.56399999999996</c:v>
                </c:pt>
                <c:pt idx="29">
                  <c:v>498.71800000000002</c:v>
                </c:pt>
                <c:pt idx="30">
                  <c:v>460.25599999999997</c:v>
                </c:pt>
                <c:pt idx="31">
                  <c:v>383.33300000000003</c:v>
                </c:pt>
                <c:pt idx="32">
                  <c:v>421.79499999999996</c:v>
                </c:pt>
                <c:pt idx="33">
                  <c:v>441.02600000000001</c:v>
                </c:pt>
                <c:pt idx="34">
                  <c:v>364.10300000000001</c:v>
                </c:pt>
                <c:pt idx="35">
                  <c:v>325.64100000000002</c:v>
                </c:pt>
                <c:pt idx="36">
                  <c:v>314.10300000000001</c:v>
                </c:pt>
                <c:pt idx="37">
                  <c:v>302.56399999999996</c:v>
                </c:pt>
                <c:pt idx="38">
                  <c:v>321.79499999999996</c:v>
                </c:pt>
                <c:pt idx="39">
                  <c:v>367.94899999999996</c:v>
                </c:pt>
                <c:pt idx="40">
                  <c:v>414.10300000000001</c:v>
                </c:pt>
                <c:pt idx="41">
                  <c:v>456.40999999999997</c:v>
                </c:pt>
                <c:pt idx="42">
                  <c:v>491.02600000000001</c:v>
                </c:pt>
                <c:pt idx="43">
                  <c:v>360.25599999999997</c:v>
                </c:pt>
                <c:pt idx="44">
                  <c:v>321.79499999999996</c:v>
                </c:pt>
                <c:pt idx="45">
                  <c:v>291.02600000000001</c:v>
                </c:pt>
                <c:pt idx="46">
                  <c:v>267.94899999999996</c:v>
                </c:pt>
                <c:pt idx="47">
                  <c:v>252.56399999999999</c:v>
                </c:pt>
                <c:pt idx="48">
                  <c:v>252.56399999999999</c:v>
                </c:pt>
                <c:pt idx="49">
                  <c:v>256.40999999999997</c:v>
                </c:pt>
                <c:pt idx="50">
                  <c:v>287.18</c:v>
                </c:pt>
                <c:pt idx="51">
                  <c:v>314.10300000000001</c:v>
                </c:pt>
                <c:pt idx="52">
                  <c:v>348.71800000000002</c:v>
                </c:pt>
                <c:pt idx="53">
                  <c:v>375.64100000000002</c:v>
                </c:pt>
                <c:pt idx="54">
                  <c:v>406.40999999999997</c:v>
                </c:pt>
                <c:pt idx="55">
                  <c:v>421.79499999999996</c:v>
                </c:pt>
                <c:pt idx="56">
                  <c:v>444.87200000000001</c:v>
                </c:pt>
                <c:pt idx="57">
                  <c:v>460.25599999999997</c:v>
                </c:pt>
                <c:pt idx="58">
                  <c:v>467.94899999999996</c:v>
                </c:pt>
                <c:pt idx="59">
                  <c:v>479.48700000000002</c:v>
                </c:pt>
                <c:pt idx="60">
                  <c:v>537.18000000000006</c:v>
                </c:pt>
                <c:pt idx="61">
                  <c:v>606.41</c:v>
                </c:pt>
                <c:pt idx="62">
                  <c:v>644.87200000000007</c:v>
                </c:pt>
                <c:pt idx="63">
                  <c:v>694.87200000000007</c:v>
                </c:pt>
                <c:pt idx="64">
                  <c:v>798.71799999999996</c:v>
                </c:pt>
                <c:pt idx="65">
                  <c:v>841.02599999999995</c:v>
                </c:pt>
                <c:pt idx="66">
                  <c:v>852.56399999999996</c:v>
                </c:pt>
                <c:pt idx="67">
                  <c:v>852.56399999999996</c:v>
                </c:pt>
                <c:pt idx="68">
                  <c:v>860.25599999999997</c:v>
                </c:pt>
                <c:pt idx="69">
                  <c:v>860.25599999999997</c:v>
                </c:pt>
                <c:pt idx="70">
                  <c:v>829.48700000000008</c:v>
                </c:pt>
                <c:pt idx="71">
                  <c:v>806.41000000000008</c:v>
                </c:pt>
                <c:pt idx="72">
                  <c:v>787.18000000000006</c:v>
                </c:pt>
                <c:pt idx="73">
                  <c:v>787.18000000000006</c:v>
                </c:pt>
                <c:pt idx="74">
                  <c:v>775.64099999999996</c:v>
                </c:pt>
                <c:pt idx="75">
                  <c:v>598.71799999999996</c:v>
                </c:pt>
                <c:pt idx="76">
                  <c:v>621.79499999999996</c:v>
                </c:pt>
                <c:pt idx="77">
                  <c:v>625.64100000000008</c:v>
                </c:pt>
                <c:pt idx="78">
                  <c:v>994.87200000000007</c:v>
                </c:pt>
                <c:pt idx="79">
                  <c:v>991.02599999999995</c:v>
                </c:pt>
                <c:pt idx="80">
                  <c:v>975.64099999999996</c:v>
                </c:pt>
                <c:pt idx="81">
                  <c:v>941.02599999999995</c:v>
                </c:pt>
                <c:pt idx="82">
                  <c:v>910.25599999999997</c:v>
                </c:pt>
                <c:pt idx="83">
                  <c:v>864.10300000000007</c:v>
                </c:pt>
                <c:pt idx="84">
                  <c:v>833.33299999999997</c:v>
                </c:pt>
                <c:pt idx="85">
                  <c:v>791.02599999999995</c:v>
                </c:pt>
                <c:pt idx="86">
                  <c:v>752.56399999999996</c:v>
                </c:pt>
                <c:pt idx="87">
                  <c:v>714.10300000000007</c:v>
                </c:pt>
                <c:pt idx="88">
                  <c:v>667.94899999999996</c:v>
                </c:pt>
                <c:pt idx="89">
                  <c:v>602.56399999999996</c:v>
                </c:pt>
                <c:pt idx="90">
                  <c:v>552.56399999999996</c:v>
                </c:pt>
                <c:pt idx="91">
                  <c:v>514.10299999999995</c:v>
                </c:pt>
                <c:pt idx="92">
                  <c:v>475.64100000000002</c:v>
                </c:pt>
                <c:pt idx="93">
                  <c:v>460.25599999999997</c:v>
                </c:pt>
                <c:pt idx="94">
                  <c:v>425.64100000000002</c:v>
                </c:pt>
                <c:pt idx="95">
                  <c:v>398.71800000000002</c:v>
                </c:pt>
                <c:pt idx="96">
                  <c:v>367.94899999999996</c:v>
                </c:pt>
                <c:pt idx="97">
                  <c:v>337.18000000000006</c:v>
                </c:pt>
                <c:pt idx="98">
                  <c:v>406.40999999999997</c:v>
                </c:pt>
                <c:pt idx="99">
                  <c:v>383.33300000000003</c:v>
                </c:pt>
                <c:pt idx="100">
                  <c:v>337.18000000000006</c:v>
                </c:pt>
                <c:pt idx="101">
                  <c:v>291.02600000000001</c:v>
                </c:pt>
                <c:pt idx="102">
                  <c:v>252.56399999999999</c:v>
                </c:pt>
                <c:pt idx="103">
                  <c:v>241.02599999999998</c:v>
                </c:pt>
                <c:pt idx="104">
                  <c:v>229.48699999999999</c:v>
                </c:pt>
                <c:pt idx="105">
                  <c:v>229.48699999999999</c:v>
                </c:pt>
                <c:pt idx="106">
                  <c:v>221.79500000000002</c:v>
                </c:pt>
                <c:pt idx="107">
                  <c:v>202.56399999999999</c:v>
                </c:pt>
                <c:pt idx="108">
                  <c:v>191.02599999999998</c:v>
                </c:pt>
                <c:pt idx="109">
                  <c:v>191.02599999999998</c:v>
                </c:pt>
                <c:pt idx="110">
                  <c:v>183.33300000000003</c:v>
                </c:pt>
                <c:pt idx="111">
                  <c:v>183.33300000000003</c:v>
                </c:pt>
                <c:pt idx="112">
                  <c:v>183.33300000000003</c:v>
                </c:pt>
                <c:pt idx="113">
                  <c:v>175.64099999999999</c:v>
                </c:pt>
                <c:pt idx="114">
                  <c:v>160.256</c:v>
                </c:pt>
                <c:pt idx="115">
                  <c:v>137.18</c:v>
                </c:pt>
                <c:pt idx="116">
                  <c:v>148.71800000000002</c:v>
                </c:pt>
                <c:pt idx="117">
                  <c:v>148.71800000000002</c:v>
                </c:pt>
                <c:pt idx="118">
                  <c:v>148.71800000000002</c:v>
                </c:pt>
                <c:pt idx="119">
                  <c:v>141.02600000000001</c:v>
                </c:pt>
                <c:pt idx="120">
                  <c:v>125.64099999999999</c:v>
                </c:pt>
                <c:pt idx="121">
                  <c:v>110.256</c:v>
                </c:pt>
                <c:pt idx="122">
                  <c:v>98.718000000000004</c:v>
                </c:pt>
                <c:pt idx="123">
                  <c:v>60.256</c:v>
                </c:pt>
                <c:pt idx="124">
                  <c:v>94.872</c:v>
                </c:pt>
                <c:pt idx="125">
                  <c:v>102.56399999999999</c:v>
                </c:pt>
                <c:pt idx="126">
                  <c:v>102.56399999999999</c:v>
                </c:pt>
                <c:pt idx="127">
                  <c:v>106.41</c:v>
                </c:pt>
                <c:pt idx="128">
                  <c:v>106.41</c:v>
                </c:pt>
                <c:pt idx="129">
                  <c:v>106.41</c:v>
                </c:pt>
                <c:pt idx="130">
                  <c:v>106.41</c:v>
                </c:pt>
                <c:pt idx="131">
                  <c:v>106.41</c:v>
                </c:pt>
                <c:pt idx="132">
                  <c:v>106.41</c:v>
                </c:pt>
                <c:pt idx="133">
                  <c:v>87.18</c:v>
                </c:pt>
                <c:pt idx="134">
                  <c:v>52.564</c:v>
                </c:pt>
                <c:pt idx="135">
                  <c:v>29.487000000000002</c:v>
                </c:pt>
                <c:pt idx="136">
                  <c:v>257.69200000000001</c:v>
                </c:pt>
                <c:pt idx="137">
                  <c:v>253.846</c:v>
                </c:pt>
                <c:pt idx="138">
                  <c:v>415.38499999999999</c:v>
                </c:pt>
                <c:pt idx="139">
                  <c:v>957.69200000000001</c:v>
                </c:pt>
                <c:pt idx="140">
                  <c:v>950</c:v>
                </c:pt>
                <c:pt idx="141">
                  <c:v>926.923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1D-4B73-85C2-F5757346B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193808"/>
        <c:axId val="697417168"/>
      </c:areaChart>
      <c:dateAx>
        <c:axId val="13841938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7417168"/>
        <c:crosses val="autoZero"/>
        <c:auto val="1"/>
        <c:lblOffset val="100"/>
        <c:baseTimeUnit val="days"/>
        <c:majorUnit val="1"/>
        <c:majorTimeUnit val="months"/>
      </c:dateAx>
      <c:valAx>
        <c:axId val="697417168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4193808"/>
        <c:crosses val="autoZero"/>
        <c:crossBetween val="midCat"/>
      </c:valAx>
      <c:spPr>
        <a:noFill/>
        <a:ln w="6350">
          <a:noFill/>
        </a:ln>
        <a:effectLst/>
      </c:spPr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>
                <a:solidFill>
                  <a:sysClr val="windowText" lastClr="000000"/>
                </a:solidFill>
              </a:rPr>
              <a:t>Relation entre les entrées et les</a:t>
            </a:r>
            <a:r>
              <a:rPr lang="fr-CH" baseline="0">
                <a:solidFill>
                  <a:sysClr val="windowText" lastClr="000000"/>
                </a:solidFill>
              </a:rPr>
              <a:t> prêts</a:t>
            </a:r>
            <a:endParaRPr lang="fr-CH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>
        <c:manualLayout>
          <c:layoutTarget val="inner"/>
          <c:xMode val="edge"/>
          <c:yMode val="edge"/>
          <c:x val="7.5074966631341958E-2"/>
          <c:y val="0.11380799902970022"/>
          <c:w val="0.8827673277434176"/>
          <c:h val="0.815255258186481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22225">
                <a:solidFill>
                  <a:schemeClr val="tx1"/>
                </a:solidFill>
              </a:ln>
              <a:effectLst/>
            </c:spPr>
          </c:marker>
          <c:xVal>
            <c:numRef>
              <c:f>SISB_Data_Stats_Formules!$C$6:$EN$6</c:f>
              <c:numCache>
                <c:formatCode>0</c:formatCode>
                <c:ptCount val="142"/>
                <c:pt idx="0">
                  <c:v>553.846</c:v>
                </c:pt>
                <c:pt idx="1">
                  <c:v>515.38499999999999</c:v>
                </c:pt>
                <c:pt idx="2">
                  <c:v>461.53799999999995</c:v>
                </c:pt>
                <c:pt idx="3">
                  <c:v>428.20500000000004</c:v>
                </c:pt>
                <c:pt idx="4">
                  <c:v>407.69200000000001</c:v>
                </c:pt>
                <c:pt idx="5">
                  <c:v>387.17899999999997</c:v>
                </c:pt>
                <c:pt idx="6">
                  <c:v>356.40999999999997</c:v>
                </c:pt>
                <c:pt idx="7">
                  <c:v>330.76900000000001</c:v>
                </c:pt>
                <c:pt idx="8">
                  <c:v>289.74399999999997</c:v>
                </c:pt>
                <c:pt idx="9">
                  <c:v>261.53800000000001</c:v>
                </c:pt>
                <c:pt idx="10">
                  <c:v>230.76899999999998</c:v>
                </c:pt>
                <c:pt idx="11">
                  <c:v>223.077</c:v>
                </c:pt>
                <c:pt idx="12">
                  <c:v>223.077</c:v>
                </c:pt>
                <c:pt idx="13">
                  <c:v>233.33300000000003</c:v>
                </c:pt>
                <c:pt idx="14">
                  <c:v>258.97399999999999</c:v>
                </c:pt>
                <c:pt idx="15">
                  <c:v>294.87200000000001</c:v>
                </c:pt>
                <c:pt idx="16">
                  <c:v>328.20500000000004</c:v>
                </c:pt>
                <c:pt idx="17">
                  <c:v>353.846</c:v>
                </c:pt>
                <c:pt idx="18">
                  <c:v>402.56399999999996</c:v>
                </c:pt>
                <c:pt idx="19">
                  <c:v>441.02600000000001</c:v>
                </c:pt>
                <c:pt idx="20">
                  <c:v>466.66699999999997</c:v>
                </c:pt>
                <c:pt idx="21">
                  <c:v>500</c:v>
                </c:pt>
                <c:pt idx="22">
                  <c:v>530.76900000000001</c:v>
                </c:pt>
                <c:pt idx="23">
                  <c:v>566.66700000000003</c:v>
                </c:pt>
                <c:pt idx="24">
                  <c:v>592.30799999999999</c:v>
                </c:pt>
                <c:pt idx="25">
                  <c:v>612.82100000000003</c:v>
                </c:pt>
                <c:pt idx="26">
                  <c:v>615.38499999999999</c:v>
                </c:pt>
                <c:pt idx="27">
                  <c:v>617.94899999999996</c:v>
                </c:pt>
                <c:pt idx="28">
                  <c:v>574.35899999999992</c:v>
                </c:pt>
                <c:pt idx="29">
                  <c:v>548.71799999999996</c:v>
                </c:pt>
                <c:pt idx="30">
                  <c:v>525.64100000000008</c:v>
                </c:pt>
                <c:pt idx="31">
                  <c:v>482.05100000000004</c:v>
                </c:pt>
                <c:pt idx="32">
                  <c:v>494.87200000000001</c:v>
                </c:pt>
                <c:pt idx="33">
                  <c:v>510.25599999999997</c:v>
                </c:pt>
                <c:pt idx="34">
                  <c:v>453.846</c:v>
                </c:pt>
                <c:pt idx="35">
                  <c:v>428.20500000000004</c:v>
                </c:pt>
                <c:pt idx="36">
                  <c:v>387.17899999999997</c:v>
                </c:pt>
                <c:pt idx="37">
                  <c:v>351.28199999999998</c:v>
                </c:pt>
                <c:pt idx="38">
                  <c:v>325.64100000000002</c:v>
                </c:pt>
                <c:pt idx="39">
                  <c:v>300</c:v>
                </c:pt>
                <c:pt idx="40">
                  <c:v>335.89699999999999</c:v>
                </c:pt>
                <c:pt idx="41">
                  <c:v>366.66699999999997</c:v>
                </c:pt>
                <c:pt idx="42">
                  <c:v>382.05100000000004</c:v>
                </c:pt>
                <c:pt idx="43">
                  <c:v>297.43600000000004</c:v>
                </c:pt>
                <c:pt idx="44">
                  <c:v>297.43600000000004</c:v>
                </c:pt>
                <c:pt idx="45">
                  <c:v>300</c:v>
                </c:pt>
                <c:pt idx="46">
                  <c:v>320.51299999999998</c:v>
                </c:pt>
                <c:pt idx="47">
                  <c:v>358.97399999999999</c:v>
                </c:pt>
                <c:pt idx="48">
                  <c:v>410.25599999999997</c:v>
                </c:pt>
                <c:pt idx="49">
                  <c:v>441.02600000000001</c:v>
                </c:pt>
                <c:pt idx="50">
                  <c:v>471.79499999999996</c:v>
                </c:pt>
                <c:pt idx="51">
                  <c:v>494.87200000000001</c:v>
                </c:pt>
                <c:pt idx="52">
                  <c:v>515.38499999999999</c:v>
                </c:pt>
                <c:pt idx="53">
                  <c:v>535.89700000000005</c:v>
                </c:pt>
                <c:pt idx="54">
                  <c:v>551.28200000000004</c:v>
                </c:pt>
                <c:pt idx="55">
                  <c:v>566.66700000000003</c:v>
                </c:pt>
                <c:pt idx="56">
                  <c:v>592.30799999999999</c:v>
                </c:pt>
                <c:pt idx="57">
                  <c:v>623.077</c:v>
                </c:pt>
                <c:pt idx="58">
                  <c:v>648.71799999999996</c:v>
                </c:pt>
                <c:pt idx="59">
                  <c:v>679.48700000000008</c:v>
                </c:pt>
                <c:pt idx="60">
                  <c:v>705.12799999999993</c:v>
                </c:pt>
                <c:pt idx="61">
                  <c:v>715.38499999999999</c:v>
                </c:pt>
                <c:pt idx="62">
                  <c:v>715.38499999999999</c:v>
                </c:pt>
                <c:pt idx="63">
                  <c:v>694.87200000000007</c:v>
                </c:pt>
                <c:pt idx="64">
                  <c:v>469.23099999999999</c:v>
                </c:pt>
                <c:pt idx="65">
                  <c:v>482.05100000000004</c:v>
                </c:pt>
                <c:pt idx="66">
                  <c:v>500</c:v>
                </c:pt>
                <c:pt idx="67">
                  <c:v>530.76900000000001</c:v>
                </c:pt>
                <c:pt idx="68">
                  <c:v>553.846</c:v>
                </c:pt>
                <c:pt idx="69">
                  <c:v>566.66700000000003</c:v>
                </c:pt>
                <c:pt idx="70">
                  <c:v>561.53800000000001</c:v>
                </c:pt>
                <c:pt idx="71">
                  <c:v>538.46199999999999</c:v>
                </c:pt>
                <c:pt idx="72">
                  <c:v>512.82100000000003</c:v>
                </c:pt>
                <c:pt idx="73">
                  <c:v>500</c:v>
                </c:pt>
                <c:pt idx="74">
                  <c:v>479.48700000000002</c:v>
                </c:pt>
                <c:pt idx="75">
                  <c:v>297.43600000000004</c:v>
                </c:pt>
                <c:pt idx="76">
                  <c:v>297.43600000000004</c:v>
                </c:pt>
                <c:pt idx="77">
                  <c:v>312.82100000000003</c:v>
                </c:pt>
                <c:pt idx="78">
                  <c:v>579.48700000000008</c:v>
                </c:pt>
                <c:pt idx="79">
                  <c:v>617.94899999999996</c:v>
                </c:pt>
                <c:pt idx="80">
                  <c:v>648.71799999999996</c:v>
                </c:pt>
                <c:pt idx="81">
                  <c:v>684.61500000000001</c:v>
                </c:pt>
                <c:pt idx="82">
                  <c:v>707.69200000000001</c:v>
                </c:pt>
                <c:pt idx="83">
                  <c:v>720.51299999999992</c:v>
                </c:pt>
                <c:pt idx="84">
                  <c:v>738.46199999999999</c:v>
                </c:pt>
                <c:pt idx="85">
                  <c:v>751.28200000000004</c:v>
                </c:pt>
                <c:pt idx="86">
                  <c:v>766.66700000000003</c:v>
                </c:pt>
                <c:pt idx="87">
                  <c:v>776.923</c:v>
                </c:pt>
                <c:pt idx="88">
                  <c:v>797.43600000000004</c:v>
                </c:pt>
                <c:pt idx="89">
                  <c:v>817.94899999999996</c:v>
                </c:pt>
                <c:pt idx="90">
                  <c:v>833.33299999999997</c:v>
                </c:pt>
                <c:pt idx="91">
                  <c:v>851.28200000000004</c:v>
                </c:pt>
                <c:pt idx="92">
                  <c:v>864.10300000000007</c:v>
                </c:pt>
                <c:pt idx="93">
                  <c:v>879.48700000000008</c:v>
                </c:pt>
                <c:pt idx="94">
                  <c:v>894.87200000000007</c:v>
                </c:pt>
                <c:pt idx="95">
                  <c:v>933.33299999999997</c:v>
                </c:pt>
                <c:pt idx="96">
                  <c:v>953.846</c:v>
                </c:pt>
                <c:pt idx="97">
                  <c:v>982.05100000000004</c:v>
                </c:pt>
                <c:pt idx="98">
                  <c:v>566.66700000000003</c:v>
                </c:pt>
                <c:pt idx="99">
                  <c:v>592.30799999999999</c:v>
                </c:pt>
                <c:pt idx="100">
                  <c:v>607.69200000000001</c:v>
                </c:pt>
                <c:pt idx="101">
                  <c:v>630.76900000000001</c:v>
                </c:pt>
                <c:pt idx="102">
                  <c:v>641.02599999999995</c:v>
                </c:pt>
                <c:pt idx="103">
                  <c:v>643.58999999999992</c:v>
                </c:pt>
                <c:pt idx="104">
                  <c:v>743.58999999999992</c:v>
                </c:pt>
                <c:pt idx="105">
                  <c:v>712.82100000000003</c:v>
                </c:pt>
                <c:pt idx="106">
                  <c:v>679.48700000000008</c:v>
                </c:pt>
                <c:pt idx="107">
                  <c:v>658.97400000000005</c:v>
                </c:pt>
                <c:pt idx="108">
                  <c:v>630.76900000000001</c:v>
                </c:pt>
                <c:pt idx="109">
                  <c:v>612.82100000000003</c:v>
                </c:pt>
                <c:pt idx="110">
                  <c:v>587.17899999999997</c:v>
                </c:pt>
                <c:pt idx="111">
                  <c:v>551.28200000000004</c:v>
                </c:pt>
                <c:pt idx="112">
                  <c:v>523.077</c:v>
                </c:pt>
                <c:pt idx="113">
                  <c:v>497.43600000000004</c:v>
                </c:pt>
                <c:pt idx="114">
                  <c:v>474.35899999999998</c:v>
                </c:pt>
                <c:pt idx="115">
                  <c:v>448.71800000000002</c:v>
                </c:pt>
                <c:pt idx="116">
                  <c:v>487.17899999999997</c:v>
                </c:pt>
                <c:pt idx="117">
                  <c:v>512.82100000000003</c:v>
                </c:pt>
                <c:pt idx="118">
                  <c:v>541.02600000000007</c:v>
                </c:pt>
                <c:pt idx="119">
                  <c:v>561.53800000000001</c:v>
                </c:pt>
                <c:pt idx="120">
                  <c:v>520.51299999999992</c:v>
                </c:pt>
                <c:pt idx="121">
                  <c:v>487.17899999999997</c:v>
                </c:pt>
                <c:pt idx="122">
                  <c:v>471.79499999999996</c:v>
                </c:pt>
                <c:pt idx="123">
                  <c:v>461.53799999999995</c:v>
                </c:pt>
                <c:pt idx="124">
                  <c:v>505.12799999999999</c:v>
                </c:pt>
                <c:pt idx="125">
                  <c:v>538.46199999999999</c:v>
                </c:pt>
                <c:pt idx="126">
                  <c:v>574.35899999999992</c:v>
                </c:pt>
                <c:pt idx="127">
                  <c:v>600</c:v>
                </c:pt>
                <c:pt idx="128">
                  <c:v>641.02599999999995</c:v>
                </c:pt>
                <c:pt idx="129">
                  <c:v>669.23099999999999</c:v>
                </c:pt>
                <c:pt idx="130">
                  <c:v>712.82100000000003</c:v>
                </c:pt>
                <c:pt idx="131">
                  <c:v>743.58999999999992</c:v>
                </c:pt>
                <c:pt idx="132">
                  <c:v>782.05100000000004</c:v>
                </c:pt>
                <c:pt idx="133">
                  <c:v>679.48700000000008</c:v>
                </c:pt>
                <c:pt idx="134">
                  <c:v>684.61500000000001</c:v>
                </c:pt>
                <c:pt idx="135">
                  <c:v>682.05100000000004</c:v>
                </c:pt>
                <c:pt idx="136">
                  <c:v>376.923</c:v>
                </c:pt>
                <c:pt idx="137">
                  <c:v>394.87200000000001</c:v>
                </c:pt>
                <c:pt idx="138">
                  <c:v>912.82100000000003</c:v>
                </c:pt>
                <c:pt idx="139">
                  <c:v>500</c:v>
                </c:pt>
                <c:pt idx="140">
                  <c:v>479.48700000000002</c:v>
                </c:pt>
                <c:pt idx="141">
                  <c:v>441.02600000000001</c:v>
                </c:pt>
              </c:numCache>
            </c:numRef>
          </c:xVal>
          <c:yVal>
            <c:numRef>
              <c:f>SISB_Data_Stats_Formules!$C$7:$EN$7</c:f>
              <c:numCache>
                <c:formatCode>0</c:formatCode>
                <c:ptCount val="142"/>
                <c:pt idx="0">
                  <c:v>971.79500000000007</c:v>
                </c:pt>
                <c:pt idx="1">
                  <c:v>960.25599999999997</c:v>
                </c:pt>
                <c:pt idx="2">
                  <c:v>944.87200000000007</c:v>
                </c:pt>
                <c:pt idx="3">
                  <c:v>914.10300000000007</c:v>
                </c:pt>
                <c:pt idx="4">
                  <c:v>883.33299999999997</c:v>
                </c:pt>
                <c:pt idx="5">
                  <c:v>848.71799999999996</c:v>
                </c:pt>
                <c:pt idx="6">
                  <c:v>798.71799999999996</c:v>
                </c:pt>
                <c:pt idx="7">
                  <c:v>775.64099999999996</c:v>
                </c:pt>
                <c:pt idx="8">
                  <c:v>744.87200000000007</c:v>
                </c:pt>
                <c:pt idx="9">
                  <c:v>714.10300000000007</c:v>
                </c:pt>
                <c:pt idx="10">
                  <c:v>664.10300000000007</c:v>
                </c:pt>
                <c:pt idx="11">
                  <c:v>617.94899999999996</c:v>
                </c:pt>
                <c:pt idx="12">
                  <c:v>571.79499999999996</c:v>
                </c:pt>
                <c:pt idx="13">
                  <c:v>529.48700000000008</c:v>
                </c:pt>
                <c:pt idx="14">
                  <c:v>510.25599999999997</c:v>
                </c:pt>
                <c:pt idx="15">
                  <c:v>510.25599999999997</c:v>
                </c:pt>
                <c:pt idx="16">
                  <c:v>510.25599999999997</c:v>
                </c:pt>
                <c:pt idx="17">
                  <c:v>514.10299999999995</c:v>
                </c:pt>
                <c:pt idx="18">
                  <c:v>514.10299999999995</c:v>
                </c:pt>
                <c:pt idx="19">
                  <c:v>529.48700000000008</c:v>
                </c:pt>
                <c:pt idx="20">
                  <c:v>541.02600000000007</c:v>
                </c:pt>
                <c:pt idx="21">
                  <c:v>552.56399999999996</c:v>
                </c:pt>
                <c:pt idx="22">
                  <c:v>556.41</c:v>
                </c:pt>
                <c:pt idx="23">
                  <c:v>560.25599999999997</c:v>
                </c:pt>
                <c:pt idx="24">
                  <c:v>579.48700000000008</c:v>
                </c:pt>
                <c:pt idx="25">
                  <c:v>621.79499999999996</c:v>
                </c:pt>
                <c:pt idx="26">
                  <c:v>664.10300000000007</c:v>
                </c:pt>
                <c:pt idx="27">
                  <c:v>691.02599999999995</c:v>
                </c:pt>
                <c:pt idx="28">
                  <c:v>552.56399999999996</c:v>
                </c:pt>
                <c:pt idx="29">
                  <c:v>498.71800000000002</c:v>
                </c:pt>
                <c:pt idx="30">
                  <c:v>460.25599999999997</c:v>
                </c:pt>
                <c:pt idx="31">
                  <c:v>383.33300000000003</c:v>
                </c:pt>
                <c:pt idx="32">
                  <c:v>421.79499999999996</c:v>
                </c:pt>
                <c:pt idx="33">
                  <c:v>441.02600000000001</c:v>
                </c:pt>
                <c:pt idx="34">
                  <c:v>364.10300000000001</c:v>
                </c:pt>
                <c:pt idx="35">
                  <c:v>325.64100000000002</c:v>
                </c:pt>
                <c:pt idx="36">
                  <c:v>314.10300000000001</c:v>
                </c:pt>
                <c:pt idx="37">
                  <c:v>302.56399999999996</c:v>
                </c:pt>
                <c:pt idx="38">
                  <c:v>321.79499999999996</c:v>
                </c:pt>
                <c:pt idx="39">
                  <c:v>367.94899999999996</c:v>
                </c:pt>
                <c:pt idx="40">
                  <c:v>414.10300000000001</c:v>
                </c:pt>
                <c:pt idx="41">
                  <c:v>456.40999999999997</c:v>
                </c:pt>
                <c:pt idx="42">
                  <c:v>491.02600000000001</c:v>
                </c:pt>
                <c:pt idx="43">
                  <c:v>360.25599999999997</c:v>
                </c:pt>
                <c:pt idx="44">
                  <c:v>321.79499999999996</c:v>
                </c:pt>
                <c:pt idx="45">
                  <c:v>291.02600000000001</c:v>
                </c:pt>
                <c:pt idx="46">
                  <c:v>267.94899999999996</c:v>
                </c:pt>
                <c:pt idx="47">
                  <c:v>252.56399999999999</c:v>
                </c:pt>
                <c:pt idx="48">
                  <c:v>252.56399999999999</c:v>
                </c:pt>
                <c:pt idx="49">
                  <c:v>256.40999999999997</c:v>
                </c:pt>
                <c:pt idx="50">
                  <c:v>287.18</c:v>
                </c:pt>
                <c:pt idx="51">
                  <c:v>314.10300000000001</c:v>
                </c:pt>
                <c:pt idx="52">
                  <c:v>348.71800000000002</c:v>
                </c:pt>
                <c:pt idx="53">
                  <c:v>375.64100000000002</c:v>
                </c:pt>
                <c:pt idx="54">
                  <c:v>406.40999999999997</c:v>
                </c:pt>
                <c:pt idx="55">
                  <c:v>421.79499999999996</c:v>
                </c:pt>
                <c:pt idx="56">
                  <c:v>444.87200000000001</c:v>
                </c:pt>
                <c:pt idx="57">
                  <c:v>460.25599999999997</c:v>
                </c:pt>
                <c:pt idx="58">
                  <c:v>467.94899999999996</c:v>
                </c:pt>
                <c:pt idx="59">
                  <c:v>479.48700000000002</c:v>
                </c:pt>
                <c:pt idx="60">
                  <c:v>537.18000000000006</c:v>
                </c:pt>
                <c:pt idx="61">
                  <c:v>606.41</c:v>
                </c:pt>
                <c:pt idx="62">
                  <c:v>644.87200000000007</c:v>
                </c:pt>
                <c:pt idx="63">
                  <c:v>694.87200000000007</c:v>
                </c:pt>
                <c:pt idx="64">
                  <c:v>798.71799999999996</c:v>
                </c:pt>
                <c:pt idx="65">
                  <c:v>841.02599999999995</c:v>
                </c:pt>
                <c:pt idx="66">
                  <c:v>852.56399999999996</c:v>
                </c:pt>
                <c:pt idx="67">
                  <c:v>852.56399999999996</c:v>
                </c:pt>
                <c:pt idx="68">
                  <c:v>860.25599999999997</c:v>
                </c:pt>
                <c:pt idx="69">
                  <c:v>860.25599999999997</c:v>
                </c:pt>
                <c:pt idx="70">
                  <c:v>829.48700000000008</c:v>
                </c:pt>
                <c:pt idx="71">
                  <c:v>806.41000000000008</c:v>
                </c:pt>
                <c:pt idx="72">
                  <c:v>787.18000000000006</c:v>
                </c:pt>
                <c:pt idx="73">
                  <c:v>787.18000000000006</c:v>
                </c:pt>
                <c:pt idx="74">
                  <c:v>775.64099999999996</c:v>
                </c:pt>
                <c:pt idx="75">
                  <c:v>598.71799999999996</c:v>
                </c:pt>
                <c:pt idx="76">
                  <c:v>621.79499999999996</c:v>
                </c:pt>
                <c:pt idx="77">
                  <c:v>625.64100000000008</c:v>
                </c:pt>
                <c:pt idx="78">
                  <c:v>994.87200000000007</c:v>
                </c:pt>
                <c:pt idx="79">
                  <c:v>991.02599999999995</c:v>
                </c:pt>
                <c:pt idx="80">
                  <c:v>975.64099999999996</c:v>
                </c:pt>
                <c:pt idx="81">
                  <c:v>941.02599999999995</c:v>
                </c:pt>
                <c:pt idx="82">
                  <c:v>910.25599999999997</c:v>
                </c:pt>
                <c:pt idx="83">
                  <c:v>864.10300000000007</c:v>
                </c:pt>
                <c:pt idx="84">
                  <c:v>833.33299999999997</c:v>
                </c:pt>
                <c:pt idx="85">
                  <c:v>791.02599999999995</c:v>
                </c:pt>
                <c:pt idx="86">
                  <c:v>752.56399999999996</c:v>
                </c:pt>
                <c:pt idx="87">
                  <c:v>714.10300000000007</c:v>
                </c:pt>
                <c:pt idx="88">
                  <c:v>667.94899999999996</c:v>
                </c:pt>
                <c:pt idx="89">
                  <c:v>602.56399999999996</c:v>
                </c:pt>
                <c:pt idx="90">
                  <c:v>552.56399999999996</c:v>
                </c:pt>
                <c:pt idx="91">
                  <c:v>514.10299999999995</c:v>
                </c:pt>
                <c:pt idx="92">
                  <c:v>475.64100000000002</c:v>
                </c:pt>
                <c:pt idx="93">
                  <c:v>460.25599999999997</c:v>
                </c:pt>
                <c:pt idx="94">
                  <c:v>425.64100000000002</c:v>
                </c:pt>
                <c:pt idx="95">
                  <c:v>398.71800000000002</c:v>
                </c:pt>
                <c:pt idx="96">
                  <c:v>367.94899999999996</c:v>
                </c:pt>
                <c:pt idx="97">
                  <c:v>337.18000000000006</c:v>
                </c:pt>
                <c:pt idx="98">
                  <c:v>406.40999999999997</c:v>
                </c:pt>
                <c:pt idx="99">
                  <c:v>383.33300000000003</c:v>
                </c:pt>
                <c:pt idx="100">
                  <c:v>337.18000000000006</c:v>
                </c:pt>
                <c:pt idx="101">
                  <c:v>291.02600000000001</c:v>
                </c:pt>
                <c:pt idx="102">
                  <c:v>252.56399999999999</c:v>
                </c:pt>
                <c:pt idx="103">
                  <c:v>241.02599999999998</c:v>
                </c:pt>
                <c:pt idx="104">
                  <c:v>229.48699999999999</c:v>
                </c:pt>
                <c:pt idx="105">
                  <c:v>229.48699999999999</c:v>
                </c:pt>
                <c:pt idx="106">
                  <c:v>221.79500000000002</c:v>
                </c:pt>
                <c:pt idx="107">
                  <c:v>202.56399999999999</c:v>
                </c:pt>
                <c:pt idx="108">
                  <c:v>191.02599999999998</c:v>
                </c:pt>
                <c:pt idx="109">
                  <c:v>191.02599999999998</c:v>
                </c:pt>
                <c:pt idx="110">
                  <c:v>183.33300000000003</c:v>
                </c:pt>
                <c:pt idx="111">
                  <c:v>183.33300000000003</c:v>
                </c:pt>
                <c:pt idx="112">
                  <c:v>183.33300000000003</c:v>
                </c:pt>
                <c:pt idx="113">
                  <c:v>175.64099999999999</c:v>
                </c:pt>
                <c:pt idx="114">
                  <c:v>160.256</c:v>
                </c:pt>
                <c:pt idx="115">
                  <c:v>137.18</c:v>
                </c:pt>
                <c:pt idx="116">
                  <c:v>148.71800000000002</c:v>
                </c:pt>
                <c:pt idx="117">
                  <c:v>148.71800000000002</c:v>
                </c:pt>
                <c:pt idx="118">
                  <c:v>148.71800000000002</c:v>
                </c:pt>
                <c:pt idx="119">
                  <c:v>141.02600000000001</c:v>
                </c:pt>
                <c:pt idx="120">
                  <c:v>125.64099999999999</c:v>
                </c:pt>
                <c:pt idx="121">
                  <c:v>110.256</c:v>
                </c:pt>
                <c:pt idx="122">
                  <c:v>98.718000000000004</c:v>
                </c:pt>
                <c:pt idx="123">
                  <c:v>60.256</c:v>
                </c:pt>
                <c:pt idx="124">
                  <c:v>94.872</c:v>
                </c:pt>
                <c:pt idx="125">
                  <c:v>102.56399999999999</c:v>
                </c:pt>
                <c:pt idx="126">
                  <c:v>102.56399999999999</c:v>
                </c:pt>
                <c:pt idx="127">
                  <c:v>106.41</c:v>
                </c:pt>
                <c:pt idx="128">
                  <c:v>106.41</c:v>
                </c:pt>
                <c:pt idx="129">
                  <c:v>106.41</c:v>
                </c:pt>
                <c:pt idx="130">
                  <c:v>106.41</c:v>
                </c:pt>
                <c:pt idx="131">
                  <c:v>106.41</c:v>
                </c:pt>
                <c:pt idx="132">
                  <c:v>106.41</c:v>
                </c:pt>
                <c:pt idx="133">
                  <c:v>87.18</c:v>
                </c:pt>
                <c:pt idx="134">
                  <c:v>52.564</c:v>
                </c:pt>
                <c:pt idx="135">
                  <c:v>29.487000000000002</c:v>
                </c:pt>
                <c:pt idx="136">
                  <c:v>257.69200000000001</c:v>
                </c:pt>
                <c:pt idx="137">
                  <c:v>253.846</c:v>
                </c:pt>
                <c:pt idx="138">
                  <c:v>415.38499999999999</c:v>
                </c:pt>
                <c:pt idx="139">
                  <c:v>957.69200000000001</c:v>
                </c:pt>
                <c:pt idx="140">
                  <c:v>950</c:v>
                </c:pt>
                <c:pt idx="141">
                  <c:v>926.923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37-4B65-A446-0CA376DD6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469391"/>
        <c:axId val="1238119791"/>
      </c:scatterChart>
      <c:valAx>
        <c:axId val="131346939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8119791"/>
        <c:crosses val="autoZero"/>
        <c:crossBetween val="midCat"/>
      </c:valAx>
      <c:valAx>
        <c:axId val="1238119791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3469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sv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sv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sv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117231</xdr:colOff>
      <xdr:row>9</xdr:row>
      <xdr:rowOff>112346</xdr:rowOff>
    </xdr:from>
    <xdr:to>
      <xdr:col>44</xdr:col>
      <xdr:colOff>205154</xdr:colOff>
      <xdr:row>34</xdr:row>
      <xdr:rowOff>42985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E079C1-1AA4-0E91-67C4-780568236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354724</xdr:colOff>
      <xdr:row>3</xdr:row>
      <xdr:rowOff>131379</xdr:rowOff>
    </xdr:from>
    <xdr:to>
      <xdr:col>3</xdr:col>
      <xdr:colOff>19706</xdr:colOff>
      <xdr:row>5</xdr:row>
      <xdr:rowOff>19706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0F5D17A-F156-4501-B842-55E12A182118}"/>
            </a:ext>
          </a:extLst>
        </xdr:cNvPr>
        <xdr:cNvSpPr/>
      </xdr:nvSpPr>
      <xdr:spPr>
        <a:xfrm>
          <a:off x="3847224" y="671129"/>
          <a:ext cx="725432" cy="193127"/>
        </a:xfrm>
        <a:prstGeom prst="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6</xdr:col>
      <xdr:colOff>1313</xdr:colOff>
      <xdr:row>1</xdr:row>
      <xdr:rowOff>218090</xdr:rowOff>
    </xdr:from>
    <xdr:to>
      <xdr:col>9</xdr:col>
      <xdr:colOff>127000</xdr:colOff>
      <xdr:row>3</xdr:row>
      <xdr:rowOff>22087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7B36EF-9F41-41D6-99E6-1C15F5118E1F}"/>
            </a:ext>
          </a:extLst>
        </xdr:cNvPr>
        <xdr:cNvSpPr/>
      </xdr:nvSpPr>
      <xdr:spPr>
        <a:xfrm>
          <a:off x="6693661" y="372699"/>
          <a:ext cx="2262600" cy="196040"/>
        </a:xfrm>
        <a:prstGeom prst="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fr-CH" sz="1100" i="1"/>
        </a:p>
      </xdr:txBody>
    </xdr:sp>
    <xdr:clientData/>
  </xdr:twoCellAnchor>
  <xdr:twoCellAnchor>
    <xdr:from>
      <xdr:col>2</xdr:col>
      <xdr:colOff>717302</xdr:colOff>
      <xdr:row>2</xdr:row>
      <xdr:rowOff>78676</xdr:rowOff>
    </xdr:from>
    <xdr:to>
      <xdr:col>6</xdr:col>
      <xdr:colOff>1313</xdr:colOff>
      <xdr:row>3</xdr:row>
      <xdr:rowOff>131379</xdr:rowOff>
    </xdr:to>
    <xdr:cxnSp macro="">
      <xdr:nvCxnSpPr>
        <xdr:cNvPr id="4" name="Connecteur : en angle 3">
          <a:extLst>
            <a:ext uri="{FF2B5EF4-FFF2-40B4-BE49-F238E27FC236}">
              <a16:creationId xmlns:a16="http://schemas.microsoft.com/office/drawing/2014/main" id="{7533FA41-869F-40DE-9B95-F1C04D37A4AE}"/>
            </a:ext>
          </a:extLst>
        </xdr:cNvPr>
        <xdr:cNvCxnSpPr>
          <a:stCxn id="2" idx="0"/>
          <a:endCxn id="3" idx="1"/>
        </xdr:cNvCxnSpPr>
      </xdr:nvCxnSpPr>
      <xdr:spPr>
        <a:xfrm rot="5400000" flipH="1" flipV="1">
          <a:off x="5349456" y="-666174"/>
          <a:ext cx="207312" cy="2481098"/>
        </a:xfrm>
        <a:prstGeom prst="bentConnector2">
          <a:avLst/>
        </a:prstGeom>
        <a:ln w="635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585623</xdr:colOff>
      <xdr:row>10</xdr:row>
      <xdr:rowOff>134007</xdr:rowOff>
    </xdr:from>
    <xdr:to>
      <xdr:col>5</xdr:col>
      <xdr:colOff>617483</xdr:colOff>
      <xdr:row>12</xdr:row>
      <xdr:rowOff>32845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A4CAC28-25AE-4F67-955B-B4C9B85ACD80}"/>
            </a:ext>
          </a:extLst>
        </xdr:cNvPr>
        <xdr:cNvSpPr/>
      </xdr:nvSpPr>
      <xdr:spPr>
        <a:xfrm>
          <a:off x="5138573" y="1740557"/>
          <a:ext cx="1454260" cy="203638"/>
        </a:xfrm>
        <a:prstGeom prst="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fr-CH" sz="1100" i="1"/>
        </a:p>
      </xdr:txBody>
    </xdr:sp>
    <xdr:clientData/>
  </xdr:twoCellAnchor>
  <xdr:oneCellAnchor>
    <xdr:from>
      <xdr:col>7</xdr:col>
      <xdr:colOff>538655</xdr:colOff>
      <xdr:row>12</xdr:row>
      <xdr:rowOff>78828</xdr:rowOff>
    </xdr:from>
    <xdr:ext cx="184731" cy="264560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FB26981D-A353-41FD-BF1D-A9360B178FFA}"/>
            </a:ext>
          </a:extLst>
        </xdr:cNvPr>
        <xdr:cNvSpPr txBox="1"/>
      </xdr:nvSpPr>
      <xdr:spPr>
        <a:xfrm>
          <a:off x="7936405" y="19901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twoCellAnchor>
    <xdr:from>
      <xdr:col>6</xdr:col>
      <xdr:colOff>650327</xdr:colOff>
      <xdr:row>9</xdr:row>
      <xdr:rowOff>151086</xdr:rowOff>
    </xdr:from>
    <xdr:to>
      <xdr:col>9</xdr:col>
      <xdr:colOff>484788</xdr:colOff>
      <xdr:row>12</xdr:row>
      <xdr:rowOff>137949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1521BBB-271C-46B7-A960-628C2A1221FF}"/>
            </a:ext>
          </a:extLst>
        </xdr:cNvPr>
        <xdr:cNvSpPr/>
      </xdr:nvSpPr>
      <xdr:spPr>
        <a:xfrm>
          <a:off x="7336877" y="1605236"/>
          <a:ext cx="1968061" cy="444063"/>
        </a:xfrm>
        <a:prstGeom prst="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ctr"/>
        <a:lstStyle/>
        <a:p>
          <a:pPr algn="ctr"/>
          <a:r>
            <a:rPr lang="fr-CH" sz="1100" i="1"/>
            <a:t>Pour afficher</a:t>
          </a:r>
          <a:r>
            <a:rPr lang="fr-CH" sz="1100" i="1" baseline="0"/>
            <a:t> une formule</a:t>
          </a:r>
          <a:br>
            <a:rPr lang="fr-CH" sz="1100" i="1" baseline="0"/>
          </a:br>
          <a:r>
            <a:rPr lang="fr-CH" sz="1100" i="1" baseline="0"/>
            <a:t>=FORMULETEXTE(C12)</a:t>
          </a:r>
          <a:endParaRPr lang="fr-CH" sz="1100" i="1"/>
        </a:p>
      </xdr:txBody>
    </xdr:sp>
    <xdr:clientData/>
  </xdr:twoCellAnchor>
  <xdr:twoCellAnchor>
    <xdr:from>
      <xdr:col>5</xdr:col>
      <xdr:colOff>617483</xdr:colOff>
      <xdr:row>11</xdr:row>
      <xdr:rowOff>68974</xdr:rowOff>
    </xdr:from>
    <xdr:to>
      <xdr:col>6</xdr:col>
      <xdr:colOff>650327</xdr:colOff>
      <xdr:row>11</xdr:row>
      <xdr:rowOff>83426</xdr:rowOff>
    </xdr:to>
    <xdr:cxnSp macro="">
      <xdr:nvCxnSpPr>
        <xdr:cNvPr id="8" name="Connecteur droit avec flèche 8">
          <a:extLst>
            <a:ext uri="{FF2B5EF4-FFF2-40B4-BE49-F238E27FC236}">
              <a16:creationId xmlns:a16="http://schemas.microsoft.com/office/drawing/2014/main" id="{4ADB6A74-EBEA-402A-9583-6981C344A9CB}"/>
            </a:ext>
          </a:extLst>
        </xdr:cNvPr>
        <xdr:cNvCxnSpPr>
          <a:stCxn id="7" idx="1"/>
          <a:endCxn id="5" idx="3"/>
        </xdr:cNvCxnSpPr>
      </xdr:nvCxnSpPr>
      <xdr:spPr>
        <a:xfrm flipH="1">
          <a:off x="6592833" y="1827924"/>
          <a:ext cx="744044" cy="14452"/>
        </a:xfrm>
        <a:prstGeom prst="straightConnector1">
          <a:avLst/>
        </a:prstGeom>
        <a:ln w="9525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580368</xdr:colOff>
      <xdr:row>13</xdr:row>
      <xdr:rowOff>37999</xdr:rowOff>
    </xdr:from>
    <xdr:to>
      <xdr:col>24</xdr:col>
      <xdr:colOff>214622</xdr:colOff>
      <xdr:row>41</xdr:row>
      <xdr:rowOff>51136</xdr:rowOff>
    </xdr:to>
    <xdr:graphicFrame macro="">
      <xdr:nvGraphicFramePr>
        <xdr:cNvPr id="9" name="Graphique 9">
          <a:extLst>
            <a:ext uri="{FF2B5EF4-FFF2-40B4-BE49-F238E27FC236}">
              <a16:creationId xmlns:a16="http://schemas.microsoft.com/office/drawing/2014/main" id="{F8FF395A-4C5E-4758-ABE5-0EAA8002F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201199</xdr:colOff>
      <xdr:row>6</xdr:row>
      <xdr:rowOff>0</xdr:rowOff>
    </xdr:from>
    <xdr:to>
      <xdr:col>16</xdr:col>
      <xdr:colOff>0</xdr:colOff>
      <xdr:row>34</xdr:row>
      <xdr:rowOff>74981</xdr:rowOff>
    </xdr:to>
    <xdr:graphicFrame macro="">
      <xdr:nvGraphicFramePr>
        <xdr:cNvPr id="2" name="Graphique 9">
          <a:extLst>
            <a:ext uri="{FF2B5EF4-FFF2-40B4-BE49-F238E27FC236}">
              <a16:creationId xmlns:a16="http://schemas.microsoft.com/office/drawing/2014/main" id="{A327EB22-F4CA-41DB-A1FE-C317438BCF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201199</xdr:colOff>
      <xdr:row>6</xdr:row>
      <xdr:rowOff>0</xdr:rowOff>
    </xdr:from>
    <xdr:to>
      <xdr:col>32</xdr:col>
      <xdr:colOff>0</xdr:colOff>
      <xdr:row>34</xdr:row>
      <xdr:rowOff>74981</xdr:rowOff>
    </xdr:to>
    <xdr:graphicFrame macro="">
      <xdr:nvGraphicFramePr>
        <xdr:cNvPr id="3" name="Graphique 9">
          <a:extLst>
            <a:ext uri="{FF2B5EF4-FFF2-40B4-BE49-F238E27FC236}">
              <a16:creationId xmlns:a16="http://schemas.microsoft.com/office/drawing/2014/main" id="{22E9BB5D-DBFB-469C-8291-96C3CD442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114300</xdr:colOff>
      <xdr:row>33</xdr:row>
      <xdr:rowOff>127000</xdr:rowOff>
    </xdr:from>
    <xdr:to>
      <xdr:col>29</xdr:col>
      <xdr:colOff>286196</xdr:colOff>
      <xdr:row>60</xdr:row>
      <xdr:rowOff>151127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605CB5-C1AC-4356-8997-6CD93CDD89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452601</xdr:colOff>
      <xdr:row>15</xdr:row>
      <xdr:rowOff>8857</xdr:rowOff>
    </xdr:from>
    <xdr:to>
      <xdr:col>8</xdr:col>
      <xdr:colOff>32842</xdr:colOff>
      <xdr:row>48</xdr:row>
      <xdr:rowOff>79088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42F3236-8207-4264-A7A1-6F6962391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2307" y="3280975"/>
          <a:ext cx="6251476" cy="6065378"/>
        </a:xfrm>
        <a:prstGeom prst="rect">
          <a:avLst/>
        </a:prstGeom>
      </xdr:spPr>
    </xdr:pic>
    <xdr:clientData/>
  </xdr:twoCellAnchor>
  <xdr:twoCellAnchor editAs="oneCell">
    <xdr:from>
      <xdr:col>8</xdr:col>
      <xdr:colOff>88409</xdr:colOff>
      <xdr:row>15</xdr:row>
      <xdr:rowOff>152131</xdr:rowOff>
    </xdr:from>
    <xdr:to>
      <xdr:col>15</xdr:col>
      <xdr:colOff>501017</xdr:colOff>
      <xdr:row>58</xdr:row>
      <xdr:rowOff>91960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FFFF775-9C0A-40E4-88DF-363D415DD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69350" y="3476543"/>
          <a:ext cx="7367726" cy="7429093"/>
        </a:xfrm>
        <a:prstGeom prst="rect">
          <a:avLst/>
        </a:prstGeom>
      </xdr:spPr>
    </xdr:pic>
    <xdr:clientData/>
  </xdr:twoCellAnchor>
  <xdr:twoCellAnchor editAs="oneCell">
    <xdr:from>
      <xdr:col>20</xdr:col>
      <xdr:colOff>425823</xdr:colOff>
      <xdr:row>13</xdr:row>
      <xdr:rowOff>212912</xdr:rowOff>
    </xdr:from>
    <xdr:to>
      <xdr:col>25</xdr:col>
      <xdr:colOff>546433</xdr:colOff>
      <xdr:row>43</xdr:row>
      <xdr:rowOff>77704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38853BA-F917-ECAC-19C8-BD8FDC709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24294" y="2924736"/>
          <a:ext cx="3314286" cy="5904762"/>
        </a:xfrm>
        <a:prstGeom prst="rect">
          <a:avLst/>
        </a:prstGeom>
      </xdr:spPr>
    </xdr:pic>
    <xdr:clientData/>
  </xdr:twoCellAnchor>
  <xdr:twoCellAnchor>
    <xdr:from>
      <xdr:col>19</xdr:col>
      <xdr:colOff>397811</xdr:colOff>
      <xdr:row>15</xdr:row>
      <xdr:rowOff>263339</xdr:rowOff>
    </xdr:from>
    <xdr:to>
      <xdr:col>20</xdr:col>
      <xdr:colOff>599516</xdr:colOff>
      <xdr:row>17</xdr:row>
      <xdr:rowOff>308163</xdr:rowOff>
    </xdr:to>
    <xdr:sp macro="" textlink="">
      <xdr:nvSpPr>
        <xdr:cNvPr id="5" name="Flèche : bas 4">
          <a:extLst>
            <a:ext uri="{FF2B5EF4-FFF2-40B4-BE49-F238E27FC236}">
              <a16:creationId xmlns:a16="http://schemas.microsoft.com/office/drawing/2014/main" id="{F31F7EAA-03BD-4633-06CF-936183C22A53}"/>
            </a:ext>
          </a:extLst>
        </xdr:cNvPr>
        <xdr:cNvSpPr/>
      </xdr:nvSpPr>
      <xdr:spPr>
        <a:xfrm rot="15167965">
          <a:off x="16741590" y="3518648"/>
          <a:ext cx="672353" cy="840441"/>
        </a:xfrm>
        <a:prstGeom prst="downArrow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25</xdr:col>
      <xdr:colOff>129989</xdr:colOff>
      <xdr:row>11</xdr:row>
      <xdr:rowOff>219637</xdr:rowOff>
    </xdr:from>
    <xdr:to>
      <xdr:col>26</xdr:col>
      <xdr:colOff>163607</xdr:colOff>
      <xdr:row>14</xdr:row>
      <xdr:rowOff>118784</xdr:rowOff>
    </xdr:to>
    <xdr:sp macro="" textlink="">
      <xdr:nvSpPr>
        <xdr:cNvPr id="6" name="Flèche : bas 5">
          <a:extLst>
            <a:ext uri="{FF2B5EF4-FFF2-40B4-BE49-F238E27FC236}">
              <a16:creationId xmlns:a16="http://schemas.microsoft.com/office/drawing/2014/main" id="{4CF65E4F-7E5A-4C00-980D-CC85F189E6FD}"/>
            </a:ext>
          </a:extLst>
        </xdr:cNvPr>
        <xdr:cNvSpPr/>
      </xdr:nvSpPr>
      <xdr:spPr>
        <a:xfrm rot="1639176">
          <a:off x="20222136" y="2303931"/>
          <a:ext cx="672353" cy="840441"/>
        </a:xfrm>
        <a:prstGeom prst="downArrow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19</xdr:col>
      <xdr:colOff>453838</xdr:colOff>
      <xdr:row>38</xdr:row>
      <xdr:rowOff>61631</xdr:rowOff>
    </xdr:from>
    <xdr:to>
      <xdr:col>21</xdr:col>
      <xdr:colOff>16808</xdr:colOff>
      <xdr:row>42</xdr:row>
      <xdr:rowOff>106454</xdr:rowOff>
    </xdr:to>
    <xdr:sp macro="" textlink="">
      <xdr:nvSpPr>
        <xdr:cNvPr id="7" name="Flèche : bas 6">
          <a:extLst>
            <a:ext uri="{FF2B5EF4-FFF2-40B4-BE49-F238E27FC236}">
              <a16:creationId xmlns:a16="http://schemas.microsoft.com/office/drawing/2014/main" id="{6575ECCE-BC81-4B8B-8021-3B448A3A25C2}"/>
            </a:ext>
          </a:extLst>
        </xdr:cNvPr>
        <xdr:cNvSpPr/>
      </xdr:nvSpPr>
      <xdr:spPr>
        <a:xfrm rot="16200000">
          <a:off x="16797617" y="7866528"/>
          <a:ext cx="672353" cy="840441"/>
        </a:xfrm>
        <a:prstGeom prst="downArrow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 editAs="oneCell">
    <xdr:from>
      <xdr:col>25</xdr:col>
      <xdr:colOff>403411</xdr:colOff>
      <xdr:row>9</xdr:row>
      <xdr:rowOff>11206</xdr:rowOff>
    </xdr:from>
    <xdr:to>
      <xdr:col>27</xdr:col>
      <xdr:colOff>40340</xdr:colOff>
      <xdr:row>11</xdr:row>
      <xdr:rowOff>298077</xdr:rowOff>
    </xdr:to>
    <xdr:pic>
      <xdr:nvPicPr>
        <xdr:cNvPr id="9" name="Graphique 8" descr="Badge 1 avec un remplissage uni">
          <a:extLst>
            <a:ext uri="{FF2B5EF4-FFF2-40B4-BE49-F238E27FC236}">
              <a16:creationId xmlns:a16="http://schemas.microsoft.com/office/drawing/2014/main" id="{495309D5-9626-3215-19DF-041A7EDF7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0495558" y="1467971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228441</xdr:colOff>
      <xdr:row>16</xdr:row>
      <xdr:rowOff>93971</xdr:rowOff>
    </xdr:from>
    <xdr:to>
      <xdr:col>19</xdr:col>
      <xdr:colOff>504106</xdr:colOff>
      <xdr:row>19</xdr:row>
      <xdr:rowOff>67077</xdr:rowOff>
    </xdr:to>
    <xdr:pic>
      <xdr:nvPicPr>
        <xdr:cNvPr id="11" name="Graphique 10" descr="Badge avec un remplissage uni">
          <a:extLst>
            <a:ext uri="{FF2B5EF4-FFF2-40B4-BE49-F238E27FC236}">
              <a16:creationId xmlns:a16="http://schemas.microsoft.com/office/drawing/2014/main" id="{4AB14156-9E73-7887-DE87-F5BEC5033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5849441" y="3747089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199146</xdr:colOff>
      <xdr:row>37</xdr:row>
      <xdr:rowOff>109500</xdr:rowOff>
    </xdr:from>
    <xdr:to>
      <xdr:col>19</xdr:col>
      <xdr:colOff>474811</xdr:colOff>
      <xdr:row>43</xdr:row>
      <xdr:rowOff>82606</xdr:rowOff>
    </xdr:to>
    <xdr:pic>
      <xdr:nvPicPr>
        <xdr:cNvPr id="13" name="Graphique 12" descr="Badge 3 avec un remplissage uni">
          <a:extLst>
            <a:ext uri="{FF2B5EF4-FFF2-40B4-BE49-F238E27FC236}">
              <a16:creationId xmlns:a16="http://schemas.microsoft.com/office/drawing/2014/main" id="{F0C46A26-6D68-77AC-C866-B3BACD682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5820146" y="7920000"/>
          <a:ext cx="914400" cy="914400"/>
        </a:xfrm>
        <a:prstGeom prst="rect">
          <a:avLst/>
        </a:prstGeom>
      </xdr:spPr>
    </xdr:pic>
    <xdr:clientData/>
  </xdr:twoCellAnchor>
  <xdr:twoCellAnchor>
    <xdr:from>
      <xdr:col>28</xdr:col>
      <xdr:colOff>1591235</xdr:colOff>
      <xdr:row>15</xdr:row>
      <xdr:rowOff>56029</xdr:rowOff>
    </xdr:from>
    <xdr:to>
      <xdr:col>28</xdr:col>
      <xdr:colOff>2039470</xdr:colOff>
      <xdr:row>16</xdr:row>
      <xdr:rowOff>268940</xdr:rowOff>
    </xdr:to>
    <xdr:sp macro="" textlink="">
      <xdr:nvSpPr>
        <xdr:cNvPr id="14" name="Flèche : bas 13">
          <a:extLst>
            <a:ext uri="{FF2B5EF4-FFF2-40B4-BE49-F238E27FC236}">
              <a16:creationId xmlns:a16="http://schemas.microsoft.com/office/drawing/2014/main" id="{3C309855-7818-7CBF-2030-89BF87AD91F4}"/>
            </a:ext>
          </a:extLst>
        </xdr:cNvPr>
        <xdr:cNvSpPr/>
      </xdr:nvSpPr>
      <xdr:spPr>
        <a:xfrm rot="10800000">
          <a:off x="23599588" y="3395382"/>
          <a:ext cx="448235" cy="526676"/>
        </a:xfrm>
        <a:prstGeom prst="downArrow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oneCellAnchor>
    <xdr:from>
      <xdr:col>28</xdr:col>
      <xdr:colOff>2028265</xdr:colOff>
      <xdr:row>15</xdr:row>
      <xdr:rowOff>224117</xdr:rowOff>
    </xdr:from>
    <xdr:ext cx="5132294" cy="311496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E5A5690D-9DA6-BB7E-CDCD-49A47BDAEC67}"/>
            </a:ext>
          </a:extLst>
        </xdr:cNvPr>
        <xdr:cNvSpPr txBox="1"/>
      </xdr:nvSpPr>
      <xdr:spPr>
        <a:xfrm>
          <a:off x="24036618" y="3563470"/>
          <a:ext cx="513229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CH" sz="1400">
              <a:solidFill>
                <a:srgbClr val="FF0000"/>
              </a:solidFill>
            </a:rPr>
            <a:t>première lettre de votre prénom puis</a:t>
          </a:r>
          <a:r>
            <a:rPr lang="fr-CH" sz="1400" baseline="0">
              <a:solidFill>
                <a:srgbClr val="FF0000"/>
              </a:solidFill>
            </a:rPr>
            <a:t> votre nom sans espace</a:t>
          </a:r>
          <a:endParaRPr lang="fr-CH" sz="14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29</xdr:col>
      <xdr:colOff>134470</xdr:colOff>
      <xdr:row>23</xdr:row>
      <xdr:rowOff>0</xdr:rowOff>
    </xdr:from>
    <xdr:to>
      <xdr:col>33</xdr:col>
      <xdr:colOff>246196</xdr:colOff>
      <xdr:row>49</xdr:row>
      <xdr:rowOff>140107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9E082D05-1109-F78C-9B32-75ED392CC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168411" y="5614147"/>
          <a:ext cx="2666667" cy="4219048"/>
        </a:xfrm>
        <a:prstGeom prst="rect">
          <a:avLst/>
        </a:prstGeom>
      </xdr:spPr>
    </xdr:pic>
    <xdr:clientData/>
  </xdr:twoCellAnchor>
  <xdr:twoCellAnchor editAs="oneCell">
    <xdr:from>
      <xdr:col>28</xdr:col>
      <xdr:colOff>33617</xdr:colOff>
      <xdr:row>23</xdr:row>
      <xdr:rowOff>0</xdr:rowOff>
    </xdr:from>
    <xdr:to>
      <xdr:col>28</xdr:col>
      <xdr:colOff>2700284</xdr:colOff>
      <xdr:row>49</xdr:row>
      <xdr:rowOff>140107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C03005C1-CBCC-5A77-BC4B-8449DF65C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041970" y="5614147"/>
          <a:ext cx="2666667" cy="4219048"/>
        </a:xfrm>
        <a:prstGeom prst="rect">
          <a:avLst/>
        </a:prstGeom>
      </xdr:spPr>
    </xdr:pic>
    <xdr:clientData/>
  </xdr:twoCellAnchor>
  <xdr:twoCellAnchor editAs="oneCell">
    <xdr:from>
      <xdr:col>34</xdr:col>
      <xdr:colOff>67234</xdr:colOff>
      <xdr:row>23</xdr:row>
      <xdr:rowOff>0</xdr:rowOff>
    </xdr:from>
    <xdr:to>
      <xdr:col>38</xdr:col>
      <xdr:colOff>178960</xdr:colOff>
      <xdr:row>49</xdr:row>
      <xdr:rowOff>140107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35EC1CCB-0695-3276-473F-13DB03C10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8294852" y="5614147"/>
          <a:ext cx="2666667" cy="4219048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23</xdr:row>
      <xdr:rowOff>0</xdr:rowOff>
    </xdr:from>
    <xdr:to>
      <xdr:col>43</xdr:col>
      <xdr:colOff>111726</xdr:colOff>
      <xdr:row>49</xdr:row>
      <xdr:rowOff>140107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BECBFF58-CAF3-49D9-0497-88312F532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421294" y="5614147"/>
          <a:ext cx="2666667" cy="4219048"/>
        </a:xfrm>
        <a:prstGeom prst="rect">
          <a:avLst/>
        </a:prstGeom>
      </xdr:spPr>
    </xdr:pic>
    <xdr:clientData/>
  </xdr:twoCellAnchor>
  <xdr:twoCellAnchor editAs="oneCell">
    <xdr:from>
      <xdr:col>20</xdr:col>
      <xdr:colOff>582706</xdr:colOff>
      <xdr:row>46</xdr:row>
      <xdr:rowOff>112059</xdr:rowOff>
    </xdr:from>
    <xdr:to>
      <xdr:col>25</xdr:col>
      <xdr:colOff>569982</xdr:colOff>
      <xdr:row>58</xdr:row>
      <xdr:rowOff>96138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79589A00-100C-B30E-8455-89D10D9F1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7481177" y="9334500"/>
          <a:ext cx="3180952" cy="1866667"/>
        </a:xfrm>
        <a:prstGeom prst="rect">
          <a:avLst/>
        </a:prstGeom>
      </xdr:spPr>
    </xdr:pic>
    <xdr:clientData/>
  </xdr:twoCellAnchor>
  <xdr:twoCellAnchor>
    <xdr:from>
      <xdr:col>20</xdr:col>
      <xdr:colOff>240926</xdr:colOff>
      <xdr:row>48</xdr:row>
      <xdr:rowOff>28013</xdr:rowOff>
    </xdr:from>
    <xdr:to>
      <xdr:col>21</xdr:col>
      <xdr:colOff>442632</xdr:colOff>
      <xdr:row>52</xdr:row>
      <xdr:rowOff>72837</xdr:rowOff>
    </xdr:to>
    <xdr:sp macro="" textlink="">
      <xdr:nvSpPr>
        <xdr:cNvPr id="21" name="Flèche : bas 20">
          <a:extLst>
            <a:ext uri="{FF2B5EF4-FFF2-40B4-BE49-F238E27FC236}">
              <a16:creationId xmlns:a16="http://schemas.microsoft.com/office/drawing/2014/main" id="{BEE0C693-DFCA-45D2-9CE0-1458613E2B1A}"/>
            </a:ext>
          </a:extLst>
        </xdr:cNvPr>
        <xdr:cNvSpPr/>
      </xdr:nvSpPr>
      <xdr:spPr>
        <a:xfrm rot="16200000">
          <a:off x="17223441" y="9480175"/>
          <a:ext cx="672353" cy="840441"/>
        </a:xfrm>
        <a:prstGeom prst="downArrow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 editAs="oneCell">
    <xdr:from>
      <xdr:col>18</xdr:col>
      <xdr:colOff>593912</xdr:colOff>
      <xdr:row>47</xdr:row>
      <xdr:rowOff>56029</xdr:rowOff>
    </xdr:from>
    <xdr:to>
      <xdr:col>20</xdr:col>
      <xdr:colOff>230841</xdr:colOff>
      <xdr:row>53</xdr:row>
      <xdr:rowOff>29135</xdr:rowOff>
    </xdr:to>
    <xdr:pic>
      <xdr:nvPicPr>
        <xdr:cNvPr id="23" name="Graphique 22" descr="Badge 4 avec un remplissage uni">
          <a:extLst>
            <a:ext uri="{FF2B5EF4-FFF2-40B4-BE49-F238E27FC236}">
              <a16:creationId xmlns:a16="http://schemas.microsoft.com/office/drawing/2014/main" id="{A009D5A6-7F44-C7AC-AC63-781E3654F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214912" y="9435353"/>
          <a:ext cx="914400" cy="914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undivendredi-my.sharepoint.com/personal/genevieve_lundi-vendredi_ch/Documents/Documents/_LUNDI-VENDREDI/01_Projets/02_Ressources/_Marp/EPFL/Heure_Apero/Excel%20Data/SISB_Data_01.xlsx" TargetMode="External"/><Relationship Id="rId1" Type="http://schemas.openxmlformats.org/officeDocument/2006/relationships/externalLinkPath" Target="SISB_Data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SB_Data"/>
      <sheetName val="SISB_Data_Visualisation"/>
      <sheetName val="SISB_Data_Stats"/>
      <sheetName val="SISB_Data_Stats_Formules"/>
      <sheetName val="MANIPULATIONS &gt;&gt;"/>
      <sheetName val="SISB_Data_Prep"/>
      <sheetName val="Emprunts"/>
      <sheetName val="Visiteurs"/>
      <sheetName val="Stats_SISB_Manipulations"/>
      <sheetName val="Stats_SISB"/>
      <sheetName val="SISB_Data_Prep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GGU-EPFL">
  <a:themeElements>
    <a:clrScheme name="Personnalisé 7">
      <a:dk1>
        <a:srgbClr val="000000"/>
      </a:dk1>
      <a:lt1>
        <a:srgbClr val="FFFFFF"/>
      </a:lt1>
      <a:dk2>
        <a:srgbClr val="413D3A"/>
      </a:dk2>
      <a:lt2>
        <a:srgbClr val="CAC7C7"/>
      </a:lt2>
      <a:accent1>
        <a:srgbClr val="FF0000"/>
      </a:accent1>
      <a:accent2>
        <a:srgbClr val="00A79F"/>
      </a:accent2>
      <a:accent3>
        <a:srgbClr val="413C3A"/>
      </a:accent3>
      <a:accent4>
        <a:srgbClr val="007480"/>
      </a:accent4>
      <a:accent5>
        <a:srgbClr val="F39869"/>
      </a:accent5>
      <a:accent6>
        <a:srgbClr val="B51F1F"/>
      </a:accent6>
      <a:hlink>
        <a:srgbClr val="ED6E9C"/>
      </a:hlink>
      <a:folHlink>
        <a:srgbClr val="4F8FC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../../../:f:/g/personal/genevieve_guex_epfl_ch/IgAbyvD5GOEERZIHrWo_m32CAUA-Z0Ft9aMQ7CvHOJ9gHiI?e=Syca2k" TargetMode="External"/><Relationship Id="rId2" Type="http://schemas.openxmlformats.org/officeDocument/2006/relationships/hyperlink" Target="https://www.openintro.org/data/index.php?data=datasaurus" TargetMode="External"/><Relationship Id="rId1" Type="http://schemas.openxmlformats.org/officeDocument/2006/relationships/hyperlink" Target="https://www.research.autodesk.com/publications/same-stats-different-graph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6892C-EC50-42AE-B67C-B3D1431388A0}">
  <dimension ref="A1:EM36"/>
  <sheetViews>
    <sheetView workbookViewId="0">
      <selection activeCell="H45" sqref="H45"/>
    </sheetView>
  </sheetViews>
  <sheetFormatPr baseColWidth="10" defaultColWidth="11.1640625" defaultRowHeight="12" x14ac:dyDescent="0.2"/>
  <cols>
    <col min="1" max="1" width="42" style="52" customWidth="1"/>
    <col min="2" max="16384" width="11.1640625" style="52"/>
  </cols>
  <sheetData>
    <row r="1" spans="1:143" x14ac:dyDescent="0.2">
      <c r="A1" s="62" t="s">
        <v>0</v>
      </c>
      <c r="B1" s="62">
        <v>1</v>
      </c>
      <c r="C1" s="62">
        <v>2</v>
      </c>
      <c r="D1" s="62">
        <v>3</v>
      </c>
      <c r="E1" s="62">
        <v>4</v>
      </c>
      <c r="F1" s="62">
        <v>5</v>
      </c>
      <c r="G1" s="62">
        <v>6</v>
      </c>
      <c r="H1" s="62">
        <v>7</v>
      </c>
      <c r="I1" s="62">
        <v>8</v>
      </c>
      <c r="J1" s="62">
        <v>9</v>
      </c>
      <c r="K1" s="62">
        <v>10</v>
      </c>
      <c r="L1" s="62">
        <v>11</v>
      </c>
      <c r="M1" s="62">
        <v>12</v>
      </c>
      <c r="N1" s="62">
        <v>13</v>
      </c>
      <c r="O1" s="62">
        <v>14</v>
      </c>
      <c r="P1" s="62">
        <v>15</v>
      </c>
      <c r="Q1" s="62">
        <v>16</v>
      </c>
      <c r="R1" s="62">
        <v>17</v>
      </c>
      <c r="S1" s="62">
        <v>18</v>
      </c>
      <c r="T1" s="62">
        <v>19</v>
      </c>
      <c r="U1" s="62">
        <v>20</v>
      </c>
      <c r="V1" s="62">
        <v>21</v>
      </c>
      <c r="W1" s="62">
        <v>22</v>
      </c>
      <c r="X1" s="62">
        <v>23</v>
      </c>
      <c r="Y1" s="62">
        <v>24</v>
      </c>
      <c r="Z1" s="62">
        <v>25</v>
      </c>
      <c r="AA1" s="62">
        <v>26</v>
      </c>
      <c r="AB1" s="62">
        <v>27</v>
      </c>
      <c r="AC1" s="62">
        <v>28</v>
      </c>
      <c r="AD1" s="62">
        <v>29</v>
      </c>
      <c r="AE1" s="62">
        <v>30</v>
      </c>
      <c r="AF1" s="62">
        <v>31</v>
      </c>
      <c r="AG1" s="62">
        <v>32</v>
      </c>
      <c r="AH1" s="62">
        <v>33</v>
      </c>
      <c r="AI1" s="62">
        <v>34</v>
      </c>
      <c r="AJ1" s="62">
        <v>35</v>
      </c>
      <c r="AK1" s="62">
        <v>36</v>
      </c>
      <c r="AL1" s="62">
        <v>37</v>
      </c>
      <c r="AM1" s="62">
        <v>38</v>
      </c>
      <c r="AN1" s="62">
        <v>39</v>
      </c>
      <c r="AO1" s="62">
        <v>40</v>
      </c>
      <c r="AP1" s="62">
        <v>41</v>
      </c>
      <c r="AQ1" s="62">
        <v>42</v>
      </c>
      <c r="AR1" s="62">
        <v>43</v>
      </c>
      <c r="AS1" s="62">
        <v>44</v>
      </c>
      <c r="AT1" s="62">
        <v>45</v>
      </c>
      <c r="AU1" s="62">
        <v>46</v>
      </c>
      <c r="AV1" s="62">
        <v>47</v>
      </c>
      <c r="AW1" s="62">
        <v>48</v>
      </c>
      <c r="AX1" s="62">
        <v>49</v>
      </c>
      <c r="AY1" s="62">
        <v>50</v>
      </c>
      <c r="AZ1" s="62">
        <v>51</v>
      </c>
      <c r="BA1" s="62">
        <v>52</v>
      </c>
      <c r="BB1" s="62">
        <v>53</v>
      </c>
      <c r="BC1" s="62">
        <v>54</v>
      </c>
      <c r="BD1" s="62">
        <v>55</v>
      </c>
      <c r="BE1" s="62">
        <v>56</v>
      </c>
      <c r="BF1" s="62">
        <v>57</v>
      </c>
      <c r="BG1" s="62">
        <v>58</v>
      </c>
      <c r="BH1" s="62">
        <v>59</v>
      </c>
      <c r="BI1" s="62">
        <v>60</v>
      </c>
      <c r="BJ1" s="62">
        <v>61</v>
      </c>
      <c r="BK1" s="62">
        <v>62</v>
      </c>
      <c r="BL1" s="62">
        <v>63</v>
      </c>
      <c r="BM1" s="62">
        <v>64</v>
      </c>
      <c r="BN1" s="62">
        <v>65</v>
      </c>
      <c r="BO1" s="62">
        <v>66</v>
      </c>
      <c r="BP1" s="62">
        <v>67</v>
      </c>
      <c r="BQ1" s="62">
        <v>68</v>
      </c>
      <c r="BR1" s="62">
        <v>69</v>
      </c>
      <c r="BS1" s="62">
        <v>70</v>
      </c>
      <c r="BT1" s="62">
        <v>71</v>
      </c>
      <c r="BU1" s="62">
        <v>72</v>
      </c>
      <c r="BV1" s="62">
        <v>73</v>
      </c>
      <c r="BW1" s="62">
        <v>74</v>
      </c>
      <c r="BX1" s="62">
        <v>75</v>
      </c>
      <c r="BY1" s="62">
        <v>76</v>
      </c>
      <c r="BZ1" s="62">
        <v>77</v>
      </c>
      <c r="CA1" s="62">
        <v>78</v>
      </c>
      <c r="CB1" s="62">
        <v>79</v>
      </c>
      <c r="CC1" s="62">
        <v>80</v>
      </c>
      <c r="CD1" s="62">
        <v>81</v>
      </c>
      <c r="CE1" s="62">
        <v>82</v>
      </c>
      <c r="CF1" s="62">
        <v>83</v>
      </c>
      <c r="CG1" s="62">
        <v>84</v>
      </c>
      <c r="CH1" s="62">
        <v>85</v>
      </c>
      <c r="CI1" s="62">
        <v>86</v>
      </c>
      <c r="CJ1" s="62">
        <v>87</v>
      </c>
      <c r="CK1" s="62">
        <v>88</v>
      </c>
      <c r="CL1" s="62">
        <v>89</v>
      </c>
      <c r="CM1" s="62">
        <v>90</v>
      </c>
      <c r="CN1" s="62">
        <v>91</v>
      </c>
      <c r="CO1" s="62">
        <v>92</v>
      </c>
      <c r="CP1" s="62">
        <v>93</v>
      </c>
      <c r="CQ1" s="62">
        <v>94</v>
      </c>
      <c r="CR1" s="62">
        <v>95</v>
      </c>
      <c r="CS1" s="62">
        <v>96</v>
      </c>
      <c r="CT1" s="62">
        <v>97</v>
      </c>
      <c r="CU1" s="62">
        <v>98</v>
      </c>
      <c r="CV1" s="62">
        <v>99</v>
      </c>
      <c r="CW1" s="62">
        <v>100</v>
      </c>
      <c r="CX1" s="62">
        <v>101</v>
      </c>
      <c r="CY1" s="62">
        <v>102</v>
      </c>
      <c r="CZ1" s="62">
        <v>103</v>
      </c>
      <c r="DA1" s="62">
        <v>104</v>
      </c>
      <c r="DB1" s="62">
        <v>105</v>
      </c>
      <c r="DC1" s="62">
        <v>106</v>
      </c>
      <c r="DD1" s="62">
        <v>107</v>
      </c>
      <c r="DE1" s="62">
        <v>108</v>
      </c>
      <c r="DF1" s="62">
        <v>109</v>
      </c>
      <c r="DG1" s="62">
        <v>110</v>
      </c>
      <c r="DH1" s="62">
        <v>111</v>
      </c>
      <c r="DI1" s="62">
        <v>112</v>
      </c>
      <c r="DJ1" s="62">
        <v>113</v>
      </c>
      <c r="DK1" s="62">
        <v>114</v>
      </c>
      <c r="DL1" s="62">
        <v>115</v>
      </c>
      <c r="DM1" s="62">
        <v>116</v>
      </c>
      <c r="DN1" s="62">
        <v>117</v>
      </c>
      <c r="DO1" s="62">
        <v>118</v>
      </c>
      <c r="DP1" s="62">
        <v>119</v>
      </c>
      <c r="DQ1" s="62">
        <v>120</v>
      </c>
      <c r="DR1" s="62">
        <v>121</v>
      </c>
      <c r="DS1" s="62">
        <v>122</v>
      </c>
      <c r="DT1" s="62">
        <v>123</v>
      </c>
      <c r="DU1" s="62">
        <v>124</v>
      </c>
      <c r="DV1" s="62">
        <v>125</v>
      </c>
      <c r="DW1" s="62">
        <v>126</v>
      </c>
      <c r="DX1" s="62">
        <v>127</v>
      </c>
      <c r="DY1" s="62">
        <v>128</v>
      </c>
      <c r="DZ1" s="62">
        <v>129</v>
      </c>
      <c r="EA1" s="62">
        <v>130</v>
      </c>
      <c r="EB1" s="62">
        <v>131</v>
      </c>
      <c r="EC1" s="62">
        <v>132</v>
      </c>
      <c r="ED1" s="62">
        <v>133</v>
      </c>
      <c r="EE1" s="62">
        <v>134</v>
      </c>
      <c r="EF1" s="62">
        <v>135</v>
      </c>
      <c r="EG1" s="62">
        <v>136</v>
      </c>
      <c r="EH1" s="62">
        <v>137</v>
      </c>
      <c r="EI1" s="62">
        <v>138</v>
      </c>
      <c r="EJ1" s="62">
        <v>139</v>
      </c>
      <c r="EK1" s="62">
        <v>140</v>
      </c>
      <c r="EL1" s="62">
        <v>141</v>
      </c>
      <c r="EM1" s="62">
        <v>142</v>
      </c>
    </row>
    <row r="2" spans="1:143" x14ac:dyDescent="0.2">
      <c r="A2" s="7" t="s">
        <v>1</v>
      </c>
      <c r="B2" s="8">
        <v>553.846</v>
      </c>
      <c r="C2" s="8">
        <v>515.38499999999999</v>
      </c>
      <c r="D2" s="8">
        <v>461.53799999999995</v>
      </c>
      <c r="E2" s="8">
        <v>428.20500000000004</v>
      </c>
      <c r="F2" s="8">
        <v>407.69200000000001</v>
      </c>
      <c r="G2" s="8">
        <v>387.17899999999997</v>
      </c>
      <c r="H2" s="8">
        <v>356.40999999999997</v>
      </c>
      <c r="I2" s="8">
        <v>330.76900000000001</v>
      </c>
      <c r="J2" s="8">
        <v>289.74399999999997</v>
      </c>
      <c r="K2" s="8">
        <v>261.53800000000001</v>
      </c>
      <c r="L2" s="8">
        <v>230.76899999999998</v>
      </c>
      <c r="M2" s="8">
        <v>223.077</v>
      </c>
      <c r="N2" s="8">
        <v>223.077</v>
      </c>
      <c r="O2" s="8">
        <v>233.33300000000003</v>
      </c>
      <c r="P2" s="8">
        <v>258.97399999999999</v>
      </c>
      <c r="Q2" s="8">
        <v>294.87200000000001</v>
      </c>
      <c r="R2" s="8">
        <v>328.20500000000004</v>
      </c>
      <c r="S2" s="8">
        <v>353.846</v>
      </c>
      <c r="T2" s="8">
        <v>402.56399999999996</v>
      </c>
      <c r="U2" s="8">
        <v>441.02600000000001</v>
      </c>
      <c r="V2" s="8">
        <v>466.66699999999997</v>
      </c>
      <c r="W2" s="8">
        <v>500</v>
      </c>
      <c r="X2" s="8">
        <v>530.76900000000001</v>
      </c>
      <c r="Y2" s="8">
        <v>566.66700000000003</v>
      </c>
      <c r="Z2" s="8">
        <v>592.30799999999999</v>
      </c>
      <c r="AA2" s="8">
        <v>612.82100000000003</v>
      </c>
      <c r="AB2" s="8">
        <v>615.38499999999999</v>
      </c>
      <c r="AC2" s="8">
        <v>617.94899999999996</v>
      </c>
      <c r="AD2" s="8">
        <v>574.35899999999992</v>
      </c>
      <c r="AE2" s="8">
        <v>548.71799999999996</v>
      </c>
      <c r="AF2" s="8">
        <v>525.64100000000008</v>
      </c>
      <c r="AG2" s="8">
        <v>482.05100000000004</v>
      </c>
      <c r="AH2" s="8">
        <v>494.87200000000001</v>
      </c>
      <c r="AI2" s="8">
        <v>510.25599999999997</v>
      </c>
      <c r="AJ2" s="8">
        <v>453.846</v>
      </c>
      <c r="AK2" s="8">
        <v>428.20500000000004</v>
      </c>
      <c r="AL2" s="8">
        <v>387.17899999999997</v>
      </c>
      <c r="AM2" s="8">
        <v>351.28199999999998</v>
      </c>
      <c r="AN2" s="8">
        <v>325.64100000000002</v>
      </c>
      <c r="AO2" s="8">
        <v>300</v>
      </c>
      <c r="AP2" s="8">
        <v>335.89699999999999</v>
      </c>
      <c r="AQ2" s="8">
        <v>366.66699999999997</v>
      </c>
      <c r="AR2" s="8">
        <v>382.05100000000004</v>
      </c>
      <c r="AS2" s="8">
        <v>297.43600000000004</v>
      </c>
      <c r="AT2" s="8">
        <v>297.43600000000004</v>
      </c>
      <c r="AU2" s="8">
        <v>300</v>
      </c>
      <c r="AV2" s="8">
        <v>320.51299999999998</v>
      </c>
      <c r="AW2" s="8">
        <v>358.97399999999999</v>
      </c>
      <c r="AX2" s="8">
        <v>410.25599999999997</v>
      </c>
      <c r="AY2" s="8">
        <v>441.02600000000001</v>
      </c>
      <c r="AZ2" s="8">
        <v>471.79499999999996</v>
      </c>
      <c r="BA2" s="8">
        <v>494.87200000000001</v>
      </c>
      <c r="BB2" s="8">
        <v>515.38499999999999</v>
      </c>
      <c r="BC2" s="8">
        <v>535.89700000000005</v>
      </c>
      <c r="BD2" s="8">
        <v>551.28200000000004</v>
      </c>
      <c r="BE2" s="8">
        <v>566.66700000000003</v>
      </c>
      <c r="BF2" s="8">
        <v>592.30799999999999</v>
      </c>
      <c r="BG2" s="8">
        <v>623.077</v>
      </c>
      <c r="BH2" s="8">
        <v>648.71799999999996</v>
      </c>
      <c r="BI2" s="8">
        <v>679.48700000000008</v>
      </c>
      <c r="BJ2" s="8">
        <v>705.12799999999993</v>
      </c>
      <c r="BK2" s="8">
        <v>715.38499999999999</v>
      </c>
      <c r="BL2" s="8">
        <v>715.38499999999999</v>
      </c>
      <c r="BM2" s="8">
        <v>694.87200000000007</v>
      </c>
      <c r="BN2" s="8">
        <v>469.23099999999999</v>
      </c>
      <c r="BO2" s="8">
        <v>482.05100000000004</v>
      </c>
      <c r="BP2" s="8">
        <v>500</v>
      </c>
      <c r="BQ2" s="8">
        <v>530.76900000000001</v>
      </c>
      <c r="BR2" s="8">
        <v>553.846</v>
      </c>
      <c r="BS2" s="8">
        <v>566.66700000000003</v>
      </c>
      <c r="BT2" s="8">
        <v>561.53800000000001</v>
      </c>
      <c r="BU2" s="8">
        <v>538.46199999999999</v>
      </c>
      <c r="BV2" s="8">
        <v>512.82100000000003</v>
      </c>
      <c r="BW2" s="8">
        <v>500</v>
      </c>
      <c r="BX2" s="8">
        <v>479.48700000000002</v>
      </c>
      <c r="BY2" s="8">
        <v>297.43600000000004</v>
      </c>
      <c r="BZ2" s="8">
        <v>297.43600000000004</v>
      </c>
      <c r="CA2" s="8">
        <v>312.82100000000003</v>
      </c>
      <c r="CB2" s="8">
        <v>579.48700000000008</v>
      </c>
      <c r="CC2" s="8">
        <v>617.94899999999996</v>
      </c>
      <c r="CD2" s="8">
        <v>648.71799999999996</v>
      </c>
      <c r="CE2" s="8">
        <v>684.61500000000001</v>
      </c>
      <c r="CF2" s="8">
        <v>707.69200000000001</v>
      </c>
      <c r="CG2" s="8">
        <v>720.51299999999992</v>
      </c>
      <c r="CH2" s="8">
        <v>738.46199999999999</v>
      </c>
      <c r="CI2" s="8">
        <v>751.28200000000004</v>
      </c>
      <c r="CJ2" s="8">
        <v>766.66700000000003</v>
      </c>
      <c r="CK2" s="8">
        <v>776.923</v>
      </c>
      <c r="CL2" s="8">
        <v>797.43600000000004</v>
      </c>
      <c r="CM2" s="8">
        <v>817.94899999999996</v>
      </c>
      <c r="CN2" s="8">
        <v>833.33299999999997</v>
      </c>
      <c r="CO2" s="8">
        <v>851.28200000000004</v>
      </c>
      <c r="CP2" s="8">
        <v>864.10300000000007</v>
      </c>
      <c r="CQ2" s="8">
        <v>879.48700000000008</v>
      </c>
      <c r="CR2" s="8">
        <v>894.87200000000007</v>
      </c>
      <c r="CS2" s="8">
        <v>933.33299999999997</v>
      </c>
      <c r="CT2" s="8">
        <v>953.846</v>
      </c>
      <c r="CU2" s="8">
        <v>982.05100000000004</v>
      </c>
      <c r="CV2" s="8">
        <v>566.66700000000003</v>
      </c>
      <c r="CW2" s="8">
        <v>592.30799999999999</v>
      </c>
      <c r="CX2" s="8">
        <v>607.69200000000001</v>
      </c>
      <c r="CY2" s="8">
        <v>630.76900000000001</v>
      </c>
      <c r="CZ2" s="8">
        <v>641.02599999999995</v>
      </c>
      <c r="DA2" s="8">
        <v>643.58999999999992</v>
      </c>
      <c r="DB2" s="8">
        <v>743.58999999999992</v>
      </c>
      <c r="DC2" s="8">
        <v>712.82100000000003</v>
      </c>
      <c r="DD2" s="8">
        <v>679.48700000000008</v>
      </c>
      <c r="DE2" s="8">
        <v>658.97400000000005</v>
      </c>
      <c r="DF2" s="8">
        <v>630.76900000000001</v>
      </c>
      <c r="DG2" s="8">
        <v>612.82100000000003</v>
      </c>
      <c r="DH2" s="8">
        <v>587.17899999999997</v>
      </c>
      <c r="DI2" s="8">
        <v>551.28200000000004</v>
      </c>
      <c r="DJ2" s="8">
        <v>523.077</v>
      </c>
      <c r="DK2" s="8">
        <v>497.43600000000004</v>
      </c>
      <c r="DL2" s="8">
        <v>474.35899999999998</v>
      </c>
      <c r="DM2" s="8">
        <v>448.71800000000002</v>
      </c>
      <c r="DN2" s="8">
        <v>487.17899999999997</v>
      </c>
      <c r="DO2" s="8">
        <v>512.82100000000003</v>
      </c>
      <c r="DP2" s="8">
        <v>541.02600000000007</v>
      </c>
      <c r="DQ2" s="8">
        <v>561.53800000000001</v>
      </c>
      <c r="DR2" s="8">
        <v>520.51299999999992</v>
      </c>
      <c r="DS2" s="8">
        <v>487.17899999999997</v>
      </c>
      <c r="DT2" s="8">
        <v>471.79499999999996</v>
      </c>
      <c r="DU2" s="8">
        <v>461.53799999999995</v>
      </c>
      <c r="DV2" s="8">
        <v>505.12799999999999</v>
      </c>
      <c r="DW2" s="8">
        <v>538.46199999999999</v>
      </c>
      <c r="DX2" s="8">
        <v>574.35899999999992</v>
      </c>
      <c r="DY2" s="8">
        <v>600</v>
      </c>
      <c r="DZ2" s="8">
        <v>641.02599999999995</v>
      </c>
      <c r="EA2" s="8">
        <v>669.23099999999999</v>
      </c>
      <c r="EB2" s="8">
        <v>712.82100000000003</v>
      </c>
      <c r="EC2" s="8">
        <v>743.58999999999992</v>
      </c>
      <c r="ED2" s="8">
        <v>782.05100000000004</v>
      </c>
      <c r="EE2" s="8">
        <v>679.48700000000008</v>
      </c>
      <c r="EF2" s="8">
        <v>684.61500000000001</v>
      </c>
      <c r="EG2" s="8">
        <v>682.05100000000004</v>
      </c>
      <c r="EH2" s="8">
        <v>376.923</v>
      </c>
      <c r="EI2" s="8">
        <v>394.87200000000001</v>
      </c>
      <c r="EJ2" s="8">
        <v>912.82100000000003</v>
      </c>
      <c r="EK2" s="8">
        <v>500</v>
      </c>
      <c r="EL2" s="8">
        <v>479.48700000000002</v>
      </c>
      <c r="EM2" s="8">
        <v>441.02600000000001</v>
      </c>
    </row>
    <row r="3" spans="1:143" x14ac:dyDescent="0.2">
      <c r="A3" s="7" t="s">
        <v>2</v>
      </c>
      <c r="B3" s="8">
        <v>971.79500000000007</v>
      </c>
      <c r="C3" s="8">
        <v>960.25599999999997</v>
      </c>
      <c r="D3" s="8">
        <v>944.87200000000007</v>
      </c>
      <c r="E3" s="8">
        <v>914.10300000000007</v>
      </c>
      <c r="F3" s="8">
        <v>883.33299999999997</v>
      </c>
      <c r="G3" s="8">
        <v>848.71799999999996</v>
      </c>
      <c r="H3" s="8">
        <v>798.71799999999996</v>
      </c>
      <c r="I3" s="8">
        <v>775.64099999999996</v>
      </c>
      <c r="J3" s="8">
        <v>744.87200000000007</v>
      </c>
      <c r="K3" s="8">
        <v>714.10300000000007</v>
      </c>
      <c r="L3" s="8">
        <v>664.10300000000007</v>
      </c>
      <c r="M3" s="8">
        <v>617.94899999999996</v>
      </c>
      <c r="N3" s="8">
        <v>571.79499999999996</v>
      </c>
      <c r="O3" s="8">
        <v>529.48700000000008</v>
      </c>
      <c r="P3" s="8">
        <v>510.25599999999997</v>
      </c>
      <c r="Q3" s="8">
        <v>510.25599999999997</v>
      </c>
      <c r="R3" s="8">
        <v>510.25599999999997</v>
      </c>
      <c r="S3" s="8">
        <v>514.10299999999995</v>
      </c>
      <c r="T3" s="8">
        <v>514.10299999999995</v>
      </c>
      <c r="U3" s="8">
        <v>529.48700000000008</v>
      </c>
      <c r="V3" s="8">
        <v>541.02600000000007</v>
      </c>
      <c r="W3" s="8">
        <v>552.56399999999996</v>
      </c>
      <c r="X3" s="8">
        <v>556.41</v>
      </c>
      <c r="Y3" s="8">
        <v>560.25599999999997</v>
      </c>
      <c r="Z3" s="8">
        <v>579.48700000000008</v>
      </c>
      <c r="AA3" s="8">
        <v>621.79499999999996</v>
      </c>
      <c r="AB3" s="8">
        <v>664.10300000000007</v>
      </c>
      <c r="AC3" s="8">
        <v>691.02599999999995</v>
      </c>
      <c r="AD3" s="8">
        <v>552.56399999999996</v>
      </c>
      <c r="AE3" s="8">
        <v>498.71800000000002</v>
      </c>
      <c r="AF3" s="8">
        <v>460.25599999999997</v>
      </c>
      <c r="AG3" s="8">
        <v>383.33300000000003</v>
      </c>
      <c r="AH3" s="8">
        <v>421.79499999999996</v>
      </c>
      <c r="AI3" s="8">
        <v>441.02600000000001</v>
      </c>
      <c r="AJ3" s="8">
        <v>364.10300000000001</v>
      </c>
      <c r="AK3" s="8">
        <v>325.64100000000002</v>
      </c>
      <c r="AL3" s="8">
        <v>314.10300000000001</v>
      </c>
      <c r="AM3" s="8">
        <v>302.56399999999996</v>
      </c>
      <c r="AN3" s="8">
        <v>321.79499999999996</v>
      </c>
      <c r="AO3" s="8">
        <v>367.94899999999996</v>
      </c>
      <c r="AP3" s="8">
        <v>414.10300000000001</v>
      </c>
      <c r="AQ3" s="8">
        <v>456.40999999999997</v>
      </c>
      <c r="AR3" s="8">
        <v>491.02600000000001</v>
      </c>
      <c r="AS3" s="8">
        <v>360.25599999999997</v>
      </c>
      <c r="AT3" s="8">
        <v>321.79499999999996</v>
      </c>
      <c r="AU3" s="8">
        <v>291.02600000000001</v>
      </c>
      <c r="AV3" s="8">
        <v>267.94899999999996</v>
      </c>
      <c r="AW3" s="8">
        <v>252.56399999999999</v>
      </c>
      <c r="AX3" s="8">
        <v>252.56399999999999</v>
      </c>
      <c r="AY3" s="8">
        <v>256.40999999999997</v>
      </c>
      <c r="AZ3" s="8">
        <v>287.18</v>
      </c>
      <c r="BA3" s="8">
        <v>314.10300000000001</v>
      </c>
      <c r="BB3" s="8">
        <v>348.71800000000002</v>
      </c>
      <c r="BC3" s="8">
        <v>375.64100000000002</v>
      </c>
      <c r="BD3" s="8">
        <v>406.40999999999997</v>
      </c>
      <c r="BE3" s="8">
        <v>421.79499999999996</v>
      </c>
      <c r="BF3" s="8">
        <v>444.87200000000001</v>
      </c>
      <c r="BG3" s="8">
        <v>460.25599999999997</v>
      </c>
      <c r="BH3" s="8">
        <v>467.94899999999996</v>
      </c>
      <c r="BI3" s="8">
        <v>479.48700000000002</v>
      </c>
      <c r="BJ3" s="8">
        <v>537.18000000000006</v>
      </c>
      <c r="BK3" s="8">
        <v>606.41</v>
      </c>
      <c r="BL3" s="8">
        <v>644.87200000000007</v>
      </c>
      <c r="BM3" s="8">
        <v>694.87200000000007</v>
      </c>
      <c r="BN3" s="8">
        <v>798.71799999999996</v>
      </c>
      <c r="BO3" s="8">
        <v>841.02599999999995</v>
      </c>
      <c r="BP3" s="8">
        <v>852.56399999999996</v>
      </c>
      <c r="BQ3" s="8">
        <v>852.56399999999996</v>
      </c>
      <c r="BR3" s="8">
        <v>860.25599999999997</v>
      </c>
      <c r="BS3" s="8">
        <v>860.25599999999997</v>
      </c>
      <c r="BT3" s="8">
        <v>829.48700000000008</v>
      </c>
      <c r="BU3" s="8">
        <v>806.41000000000008</v>
      </c>
      <c r="BV3" s="8">
        <v>787.18000000000006</v>
      </c>
      <c r="BW3" s="8">
        <v>787.18000000000006</v>
      </c>
      <c r="BX3" s="8">
        <v>775.64099999999996</v>
      </c>
      <c r="BY3" s="8">
        <v>598.71799999999996</v>
      </c>
      <c r="BZ3" s="8">
        <v>621.79499999999996</v>
      </c>
      <c r="CA3" s="8">
        <v>625.64100000000008</v>
      </c>
      <c r="CB3" s="8">
        <v>994.87200000000007</v>
      </c>
      <c r="CC3" s="8">
        <v>991.02599999999995</v>
      </c>
      <c r="CD3" s="8">
        <v>975.64099999999996</v>
      </c>
      <c r="CE3" s="8">
        <v>941.02599999999995</v>
      </c>
      <c r="CF3" s="8">
        <v>910.25599999999997</v>
      </c>
      <c r="CG3" s="8">
        <v>864.10300000000007</v>
      </c>
      <c r="CH3" s="8">
        <v>833.33299999999997</v>
      </c>
      <c r="CI3" s="8">
        <v>791.02599999999995</v>
      </c>
      <c r="CJ3" s="8">
        <v>752.56399999999996</v>
      </c>
      <c r="CK3" s="8">
        <v>714.10300000000007</v>
      </c>
      <c r="CL3" s="8">
        <v>667.94899999999996</v>
      </c>
      <c r="CM3" s="8">
        <v>602.56399999999996</v>
      </c>
      <c r="CN3" s="8">
        <v>552.56399999999996</v>
      </c>
      <c r="CO3" s="8">
        <v>514.10299999999995</v>
      </c>
      <c r="CP3" s="8">
        <v>475.64100000000002</v>
      </c>
      <c r="CQ3" s="8">
        <v>460.25599999999997</v>
      </c>
      <c r="CR3" s="8">
        <v>425.64100000000002</v>
      </c>
      <c r="CS3" s="8">
        <v>398.71800000000002</v>
      </c>
      <c r="CT3" s="8">
        <v>367.94899999999996</v>
      </c>
      <c r="CU3" s="8">
        <v>337.18000000000006</v>
      </c>
      <c r="CV3" s="8">
        <v>406.40999999999997</v>
      </c>
      <c r="CW3" s="8">
        <v>383.33300000000003</v>
      </c>
      <c r="CX3" s="8">
        <v>337.18000000000006</v>
      </c>
      <c r="CY3" s="8">
        <v>291.02600000000001</v>
      </c>
      <c r="CZ3" s="8">
        <v>252.56399999999999</v>
      </c>
      <c r="DA3" s="8">
        <v>241.02599999999998</v>
      </c>
      <c r="DB3" s="8">
        <v>229.48699999999999</v>
      </c>
      <c r="DC3" s="8">
        <v>229.48699999999999</v>
      </c>
      <c r="DD3" s="8">
        <v>221.79500000000002</v>
      </c>
      <c r="DE3" s="8">
        <v>202.56399999999999</v>
      </c>
      <c r="DF3" s="8">
        <v>191.02599999999998</v>
      </c>
      <c r="DG3" s="8">
        <v>191.02599999999998</v>
      </c>
      <c r="DH3" s="8">
        <v>183.33300000000003</v>
      </c>
      <c r="DI3" s="8">
        <v>183.33300000000003</v>
      </c>
      <c r="DJ3" s="8">
        <v>183.33300000000003</v>
      </c>
      <c r="DK3" s="8">
        <v>175.64099999999999</v>
      </c>
      <c r="DL3" s="8">
        <v>160.256</v>
      </c>
      <c r="DM3" s="8">
        <v>137.18</v>
      </c>
      <c r="DN3" s="8">
        <v>148.71800000000002</v>
      </c>
      <c r="DO3" s="8">
        <v>148.71800000000002</v>
      </c>
      <c r="DP3" s="8">
        <v>148.71800000000002</v>
      </c>
      <c r="DQ3" s="8">
        <v>141.02600000000001</v>
      </c>
      <c r="DR3" s="8">
        <v>125.64099999999999</v>
      </c>
      <c r="DS3" s="8">
        <v>110.256</v>
      </c>
      <c r="DT3" s="8">
        <v>98.718000000000004</v>
      </c>
      <c r="DU3" s="8">
        <v>60.256</v>
      </c>
      <c r="DV3" s="8">
        <v>94.872</v>
      </c>
      <c r="DW3" s="8">
        <v>102.56399999999999</v>
      </c>
      <c r="DX3" s="8">
        <v>102.56399999999999</v>
      </c>
      <c r="DY3" s="8">
        <v>106.41</v>
      </c>
      <c r="DZ3" s="8">
        <v>106.41</v>
      </c>
      <c r="EA3" s="8">
        <v>106.41</v>
      </c>
      <c r="EB3" s="8">
        <v>106.41</v>
      </c>
      <c r="EC3" s="8">
        <v>106.41</v>
      </c>
      <c r="ED3" s="8">
        <v>106.41</v>
      </c>
      <c r="EE3" s="8">
        <v>87.18</v>
      </c>
      <c r="EF3" s="8">
        <v>52.564</v>
      </c>
      <c r="EG3" s="8">
        <v>29.487000000000002</v>
      </c>
      <c r="EH3" s="8">
        <v>257.69200000000001</v>
      </c>
      <c r="EI3" s="8">
        <v>253.846</v>
      </c>
      <c r="EJ3" s="8">
        <v>415.38499999999999</v>
      </c>
      <c r="EK3" s="8">
        <v>957.69200000000001</v>
      </c>
      <c r="EL3" s="8">
        <v>950</v>
      </c>
      <c r="EM3" s="8">
        <v>926.923</v>
      </c>
    </row>
    <row r="6" spans="1:143" x14ac:dyDescent="0.2">
      <c r="A6" s="7" t="s">
        <v>3</v>
      </c>
      <c r="B6" s="61">
        <v>46023</v>
      </c>
    </row>
    <row r="7" spans="1:143" x14ac:dyDescent="0.2">
      <c r="A7" s="7" t="s">
        <v>4</v>
      </c>
      <c r="B7" s="7"/>
    </row>
    <row r="9" spans="1:143" x14ac:dyDescent="0.2">
      <c r="A9" s="7" t="s">
        <v>5</v>
      </c>
      <c r="B9" s="7"/>
    </row>
    <row r="12" spans="1:143" x14ac:dyDescent="0.2">
      <c r="A12" s="62" t="s">
        <v>6</v>
      </c>
      <c r="B12" s="63"/>
    </row>
    <row r="13" spans="1:143" x14ac:dyDescent="0.2">
      <c r="A13" s="7" t="s">
        <v>7</v>
      </c>
      <c r="B13" s="7"/>
    </row>
    <row r="14" spans="1:143" x14ac:dyDescent="0.2">
      <c r="A14" s="7" t="s">
        <v>8</v>
      </c>
      <c r="B14" s="7"/>
    </row>
    <row r="16" spans="1:143" x14ac:dyDescent="0.2">
      <c r="A16" s="62" t="s">
        <v>9</v>
      </c>
      <c r="B16" s="63"/>
    </row>
    <row r="17" spans="1:2" x14ac:dyDescent="0.2">
      <c r="A17" s="7" t="s">
        <v>7</v>
      </c>
      <c r="B17" s="7"/>
    </row>
    <row r="18" spans="1:2" x14ac:dyDescent="0.2">
      <c r="A18" s="7" t="s">
        <v>8</v>
      </c>
      <c r="B18" s="7"/>
    </row>
    <row r="20" spans="1:2" x14ac:dyDescent="0.2">
      <c r="A20" s="62" t="s">
        <v>10</v>
      </c>
      <c r="B20" s="63"/>
    </row>
    <row r="21" spans="1:2" x14ac:dyDescent="0.2">
      <c r="A21" s="7" t="s">
        <v>7</v>
      </c>
      <c r="B21" s="7"/>
    </row>
    <row r="22" spans="1:2" x14ac:dyDescent="0.2">
      <c r="A22" s="7" t="s">
        <v>8</v>
      </c>
      <c r="B22" s="7"/>
    </row>
    <row r="24" spans="1:2" x14ac:dyDescent="0.2">
      <c r="A24" s="62" t="s">
        <v>11</v>
      </c>
      <c r="B24" s="63"/>
    </row>
    <row r="25" spans="1:2" x14ac:dyDescent="0.2">
      <c r="A25" s="7" t="s">
        <v>12</v>
      </c>
      <c r="B25" s="7"/>
    </row>
    <row r="26" spans="1:2" x14ac:dyDescent="0.2">
      <c r="A26" s="7" t="s">
        <v>13</v>
      </c>
      <c r="B26" s="7"/>
    </row>
    <row r="28" spans="1:2" x14ac:dyDescent="0.2">
      <c r="A28" s="7" t="s">
        <v>14</v>
      </c>
      <c r="B28" s="7"/>
    </row>
    <row r="29" spans="1:2" x14ac:dyDescent="0.2">
      <c r="A29" s="7" t="s">
        <v>15</v>
      </c>
      <c r="B29" s="7"/>
    </row>
    <row r="31" spans="1:2" x14ac:dyDescent="0.2">
      <c r="A31" s="62" t="s">
        <v>16</v>
      </c>
      <c r="B31" s="63"/>
    </row>
    <row r="32" spans="1:2" x14ac:dyDescent="0.2">
      <c r="A32" s="7" t="s">
        <v>17</v>
      </c>
      <c r="B32" s="7"/>
    </row>
    <row r="33" spans="1:2" x14ac:dyDescent="0.2">
      <c r="A33" s="7" t="s">
        <v>18</v>
      </c>
      <c r="B33" s="7"/>
    </row>
    <row r="35" spans="1:2" x14ac:dyDescent="0.2">
      <c r="A35" s="7" t="s">
        <v>19</v>
      </c>
      <c r="B35" s="7"/>
    </row>
    <row r="36" spans="1:2" x14ac:dyDescent="0.2">
      <c r="A36" s="7" t="s">
        <v>20</v>
      </c>
      <c r="B3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3AEC-31E5-42A5-B4C0-CF20B03AB1B6}">
  <dimension ref="A2:EN41"/>
  <sheetViews>
    <sheetView showGridLines="0" zoomScale="115" zoomScaleNormal="115" workbookViewId="0">
      <selection activeCell="D53" sqref="D53"/>
    </sheetView>
  </sheetViews>
  <sheetFormatPr baseColWidth="10" defaultColWidth="11.1640625" defaultRowHeight="12" x14ac:dyDescent="0.2"/>
  <cols>
    <col min="1" max="1" width="5.6640625" style="52" customWidth="1"/>
    <col min="2" max="2" width="35.5" style="52" customWidth="1"/>
    <col min="3" max="144" width="11.6640625" style="52" bestFit="1" customWidth="1"/>
    <col min="145" max="16384" width="11.1640625" style="52"/>
  </cols>
  <sheetData>
    <row r="2" spans="2:144" ht="18.75" x14ac:dyDescent="0.3">
      <c r="B2" s="64" t="s">
        <v>21</v>
      </c>
    </row>
    <row r="3" spans="2:144" x14ac:dyDescent="0.2">
      <c r="B3" s="52" t="s">
        <v>22</v>
      </c>
    </row>
    <row r="5" spans="2:144" s="67" customFormat="1" x14ac:dyDescent="0.2">
      <c r="B5" s="65" t="s">
        <v>0</v>
      </c>
      <c r="C5" s="66">
        <v>46023</v>
      </c>
      <c r="D5" s="66">
        <v>46024</v>
      </c>
      <c r="E5" s="66">
        <v>46025</v>
      </c>
      <c r="F5" s="66">
        <v>46026</v>
      </c>
      <c r="G5" s="66">
        <v>46027</v>
      </c>
      <c r="H5" s="66">
        <v>46028</v>
      </c>
      <c r="I5" s="66">
        <v>46029</v>
      </c>
      <c r="J5" s="66">
        <v>46030</v>
      </c>
      <c r="K5" s="66">
        <v>46031</v>
      </c>
      <c r="L5" s="66">
        <v>46032</v>
      </c>
      <c r="M5" s="66">
        <v>46033</v>
      </c>
      <c r="N5" s="66">
        <v>46034</v>
      </c>
      <c r="O5" s="66">
        <v>46035</v>
      </c>
      <c r="P5" s="66">
        <v>46036</v>
      </c>
      <c r="Q5" s="66">
        <v>46037</v>
      </c>
      <c r="R5" s="66">
        <v>46038</v>
      </c>
      <c r="S5" s="66">
        <v>46039</v>
      </c>
      <c r="T5" s="66">
        <v>46040</v>
      </c>
      <c r="U5" s="66">
        <v>46041</v>
      </c>
      <c r="V5" s="66">
        <v>46042</v>
      </c>
      <c r="W5" s="66">
        <v>46043</v>
      </c>
      <c r="X5" s="66">
        <v>46044</v>
      </c>
      <c r="Y5" s="66">
        <v>46045</v>
      </c>
      <c r="Z5" s="66">
        <v>46046</v>
      </c>
      <c r="AA5" s="66">
        <v>46047</v>
      </c>
      <c r="AB5" s="66">
        <v>46048</v>
      </c>
      <c r="AC5" s="66">
        <v>46049</v>
      </c>
      <c r="AD5" s="66">
        <v>46050</v>
      </c>
      <c r="AE5" s="66">
        <v>46051</v>
      </c>
      <c r="AF5" s="66">
        <v>46052</v>
      </c>
      <c r="AG5" s="66">
        <v>46053</v>
      </c>
      <c r="AH5" s="66">
        <v>46054</v>
      </c>
      <c r="AI5" s="66">
        <v>46055</v>
      </c>
      <c r="AJ5" s="66">
        <v>46056</v>
      </c>
      <c r="AK5" s="66">
        <v>46057</v>
      </c>
      <c r="AL5" s="66">
        <v>46058</v>
      </c>
      <c r="AM5" s="66">
        <v>46059</v>
      </c>
      <c r="AN5" s="66">
        <v>46060</v>
      </c>
      <c r="AO5" s="66">
        <v>46061</v>
      </c>
      <c r="AP5" s="66">
        <v>46062</v>
      </c>
      <c r="AQ5" s="66">
        <v>46063</v>
      </c>
      <c r="AR5" s="66">
        <v>46064</v>
      </c>
      <c r="AS5" s="66">
        <v>46065</v>
      </c>
      <c r="AT5" s="66">
        <v>46066</v>
      </c>
      <c r="AU5" s="66">
        <v>46067</v>
      </c>
      <c r="AV5" s="66">
        <v>46068</v>
      </c>
      <c r="AW5" s="66">
        <v>46069</v>
      </c>
      <c r="AX5" s="66">
        <v>46070</v>
      </c>
      <c r="AY5" s="66">
        <v>46071</v>
      </c>
      <c r="AZ5" s="66">
        <v>46072</v>
      </c>
      <c r="BA5" s="66">
        <v>46073</v>
      </c>
      <c r="BB5" s="66">
        <v>46074</v>
      </c>
      <c r="BC5" s="66">
        <v>46075</v>
      </c>
      <c r="BD5" s="66">
        <v>46076</v>
      </c>
      <c r="BE5" s="66">
        <v>46077</v>
      </c>
      <c r="BF5" s="66">
        <v>46078</v>
      </c>
      <c r="BG5" s="66">
        <v>46079</v>
      </c>
      <c r="BH5" s="66">
        <v>46080</v>
      </c>
      <c r="BI5" s="66">
        <v>46081</v>
      </c>
      <c r="BJ5" s="66">
        <v>46082</v>
      </c>
      <c r="BK5" s="66">
        <v>46083</v>
      </c>
      <c r="BL5" s="66">
        <v>46084</v>
      </c>
      <c r="BM5" s="66">
        <v>46085</v>
      </c>
      <c r="BN5" s="66">
        <v>46086</v>
      </c>
      <c r="BO5" s="66">
        <v>46087</v>
      </c>
      <c r="BP5" s="66">
        <v>46088</v>
      </c>
      <c r="BQ5" s="66">
        <v>46089</v>
      </c>
      <c r="BR5" s="66">
        <v>46090</v>
      </c>
      <c r="BS5" s="66">
        <v>46091</v>
      </c>
      <c r="BT5" s="66">
        <v>46092</v>
      </c>
      <c r="BU5" s="66">
        <v>46093</v>
      </c>
      <c r="BV5" s="66">
        <v>46094</v>
      </c>
      <c r="BW5" s="66">
        <v>46095</v>
      </c>
      <c r="BX5" s="66">
        <v>46096</v>
      </c>
      <c r="BY5" s="66">
        <v>46097</v>
      </c>
      <c r="BZ5" s="66">
        <v>46098</v>
      </c>
      <c r="CA5" s="66">
        <v>46099</v>
      </c>
      <c r="CB5" s="66">
        <v>46100</v>
      </c>
      <c r="CC5" s="66">
        <v>46101</v>
      </c>
      <c r="CD5" s="66">
        <v>46102</v>
      </c>
      <c r="CE5" s="66">
        <v>46103</v>
      </c>
      <c r="CF5" s="66">
        <v>46104</v>
      </c>
      <c r="CG5" s="66">
        <v>46105</v>
      </c>
      <c r="CH5" s="66">
        <v>46106</v>
      </c>
      <c r="CI5" s="66">
        <v>46107</v>
      </c>
      <c r="CJ5" s="66">
        <v>46108</v>
      </c>
      <c r="CK5" s="66">
        <v>46109</v>
      </c>
      <c r="CL5" s="66">
        <v>46110</v>
      </c>
      <c r="CM5" s="66">
        <v>46111</v>
      </c>
      <c r="CN5" s="66">
        <v>46112</v>
      </c>
      <c r="CO5" s="66">
        <v>46113</v>
      </c>
      <c r="CP5" s="66">
        <v>46114</v>
      </c>
      <c r="CQ5" s="66">
        <v>46115</v>
      </c>
      <c r="CR5" s="66">
        <v>46116</v>
      </c>
      <c r="CS5" s="66">
        <v>46117</v>
      </c>
      <c r="CT5" s="66">
        <v>46118</v>
      </c>
      <c r="CU5" s="66">
        <v>46119</v>
      </c>
      <c r="CV5" s="66">
        <v>46120</v>
      </c>
      <c r="CW5" s="66">
        <v>46121</v>
      </c>
      <c r="CX5" s="66">
        <v>46122</v>
      </c>
      <c r="CY5" s="66">
        <v>46123</v>
      </c>
      <c r="CZ5" s="66">
        <v>46124</v>
      </c>
      <c r="DA5" s="66">
        <v>46125</v>
      </c>
      <c r="DB5" s="66">
        <v>46126</v>
      </c>
      <c r="DC5" s="66">
        <v>46127</v>
      </c>
      <c r="DD5" s="66">
        <v>46128</v>
      </c>
      <c r="DE5" s="66">
        <v>46129</v>
      </c>
      <c r="DF5" s="66">
        <v>46130</v>
      </c>
      <c r="DG5" s="66">
        <v>46131</v>
      </c>
      <c r="DH5" s="66">
        <v>46132</v>
      </c>
      <c r="DI5" s="66">
        <v>46133</v>
      </c>
      <c r="DJ5" s="66">
        <v>46134</v>
      </c>
      <c r="DK5" s="66">
        <v>46135</v>
      </c>
      <c r="DL5" s="66">
        <v>46136</v>
      </c>
      <c r="DM5" s="66">
        <v>46137</v>
      </c>
      <c r="DN5" s="66">
        <v>46138</v>
      </c>
      <c r="DO5" s="66">
        <v>46139</v>
      </c>
      <c r="DP5" s="66">
        <v>46140</v>
      </c>
      <c r="DQ5" s="66">
        <v>46141</v>
      </c>
      <c r="DR5" s="66">
        <v>46142</v>
      </c>
      <c r="DS5" s="66">
        <v>46143</v>
      </c>
      <c r="DT5" s="66">
        <v>46144</v>
      </c>
      <c r="DU5" s="66">
        <v>46145</v>
      </c>
      <c r="DV5" s="66">
        <v>46146</v>
      </c>
      <c r="DW5" s="66">
        <v>46147</v>
      </c>
      <c r="DX5" s="66">
        <v>46148</v>
      </c>
      <c r="DY5" s="66">
        <v>46149</v>
      </c>
      <c r="DZ5" s="66">
        <v>46150</v>
      </c>
      <c r="EA5" s="66">
        <v>46151</v>
      </c>
      <c r="EB5" s="66">
        <v>46152</v>
      </c>
      <c r="EC5" s="66">
        <v>46153</v>
      </c>
      <c r="ED5" s="66">
        <v>46154</v>
      </c>
      <c r="EE5" s="66">
        <v>46155</v>
      </c>
      <c r="EF5" s="66">
        <v>46156</v>
      </c>
      <c r="EG5" s="66">
        <v>46157</v>
      </c>
      <c r="EH5" s="66">
        <v>46158</v>
      </c>
      <c r="EI5" s="66">
        <v>46159</v>
      </c>
      <c r="EJ5" s="66">
        <v>46160</v>
      </c>
      <c r="EK5" s="66">
        <v>46161</v>
      </c>
      <c r="EL5" s="66">
        <v>46162</v>
      </c>
      <c r="EM5" s="66">
        <v>46163</v>
      </c>
      <c r="EN5" s="66">
        <v>46164</v>
      </c>
    </row>
    <row r="6" spans="2:144" x14ac:dyDescent="0.2">
      <c r="B6" s="68" t="s">
        <v>1</v>
      </c>
      <c r="C6" s="69">
        <v>553.846</v>
      </c>
      <c r="D6" s="69">
        <v>515.38499999999999</v>
      </c>
      <c r="E6" s="69">
        <v>461.53799999999995</v>
      </c>
      <c r="F6" s="69">
        <v>428.20500000000004</v>
      </c>
      <c r="G6" s="69">
        <v>407.69200000000001</v>
      </c>
      <c r="H6" s="69">
        <v>387.17899999999997</v>
      </c>
      <c r="I6" s="69">
        <v>356.40999999999997</v>
      </c>
      <c r="J6" s="69">
        <v>330.76900000000001</v>
      </c>
      <c r="K6" s="69">
        <v>289.74399999999997</v>
      </c>
      <c r="L6" s="69">
        <v>261.53800000000001</v>
      </c>
      <c r="M6" s="69">
        <v>230.76899999999998</v>
      </c>
      <c r="N6" s="69">
        <v>223.077</v>
      </c>
      <c r="O6" s="69">
        <v>223.077</v>
      </c>
      <c r="P6" s="69">
        <v>233.33300000000003</v>
      </c>
      <c r="Q6" s="69">
        <v>258.97399999999999</v>
      </c>
      <c r="R6" s="69">
        <v>294.87200000000001</v>
      </c>
      <c r="S6" s="69">
        <v>328.20500000000004</v>
      </c>
      <c r="T6" s="69">
        <v>353.846</v>
      </c>
      <c r="U6" s="69">
        <v>402.56399999999996</v>
      </c>
      <c r="V6" s="69">
        <v>441.02600000000001</v>
      </c>
      <c r="W6" s="69">
        <v>466.66699999999997</v>
      </c>
      <c r="X6" s="69">
        <v>500</v>
      </c>
      <c r="Y6" s="69">
        <v>530.76900000000001</v>
      </c>
      <c r="Z6" s="69">
        <v>566.66700000000003</v>
      </c>
      <c r="AA6" s="69">
        <v>592.30799999999999</v>
      </c>
      <c r="AB6" s="69">
        <v>612.82100000000003</v>
      </c>
      <c r="AC6" s="69">
        <v>615.38499999999999</v>
      </c>
      <c r="AD6" s="69">
        <v>617.94899999999996</v>
      </c>
      <c r="AE6" s="69">
        <v>574.35899999999992</v>
      </c>
      <c r="AF6" s="69">
        <v>548.71799999999996</v>
      </c>
      <c r="AG6" s="69">
        <v>525.64100000000008</v>
      </c>
      <c r="AH6" s="69">
        <v>482.05100000000004</v>
      </c>
      <c r="AI6" s="69">
        <v>494.87200000000001</v>
      </c>
      <c r="AJ6" s="69">
        <v>510.25599999999997</v>
      </c>
      <c r="AK6" s="69">
        <v>453.846</v>
      </c>
      <c r="AL6" s="69">
        <v>428.20500000000004</v>
      </c>
      <c r="AM6" s="69">
        <v>387.17899999999997</v>
      </c>
      <c r="AN6" s="69">
        <v>351.28199999999998</v>
      </c>
      <c r="AO6" s="69">
        <v>325.64100000000002</v>
      </c>
      <c r="AP6" s="69">
        <v>300</v>
      </c>
      <c r="AQ6" s="69">
        <v>335.89699999999999</v>
      </c>
      <c r="AR6" s="69">
        <v>366.66699999999997</v>
      </c>
      <c r="AS6" s="69">
        <v>382.05100000000004</v>
      </c>
      <c r="AT6" s="69">
        <v>297.43600000000004</v>
      </c>
      <c r="AU6" s="69">
        <v>297.43600000000004</v>
      </c>
      <c r="AV6" s="69">
        <v>300</v>
      </c>
      <c r="AW6" s="69">
        <v>320.51299999999998</v>
      </c>
      <c r="AX6" s="69">
        <v>358.97399999999999</v>
      </c>
      <c r="AY6" s="69">
        <v>410.25599999999997</v>
      </c>
      <c r="AZ6" s="69">
        <v>441.02600000000001</v>
      </c>
      <c r="BA6" s="69">
        <v>471.79499999999996</v>
      </c>
      <c r="BB6" s="69">
        <v>494.87200000000001</v>
      </c>
      <c r="BC6" s="69">
        <v>515.38499999999999</v>
      </c>
      <c r="BD6" s="69">
        <v>535.89700000000005</v>
      </c>
      <c r="BE6" s="69">
        <v>551.28200000000004</v>
      </c>
      <c r="BF6" s="69">
        <v>566.66700000000003</v>
      </c>
      <c r="BG6" s="69">
        <v>592.30799999999999</v>
      </c>
      <c r="BH6" s="69">
        <v>623.077</v>
      </c>
      <c r="BI6" s="69">
        <v>648.71799999999996</v>
      </c>
      <c r="BJ6" s="69">
        <v>679.48700000000008</v>
      </c>
      <c r="BK6" s="69">
        <v>705.12799999999993</v>
      </c>
      <c r="BL6" s="69">
        <v>715.38499999999999</v>
      </c>
      <c r="BM6" s="69">
        <v>715.38499999999999</v>
      </c>
      <c r="BN6" s="69">
        <v>694.87200000000007</v>
      </c>
      <c r="BO6" s="69">
        <v>469.23099999999999</v>
      </c>
      <c r="BP6" s="69">
        <v>482.05100000000004</v>
      </c>
      <c r="BQ6" s="69">
        <v>500</v>
      </c>
      <c r="BR6" s="69">
        <v>530.76900000000001</v>
      </c>
      <c r="BS6" s="69">
        <v>553.846</v>
      </c>
      <c r="BT6" s="69">
        <v>566.66700000000003</v>
      </c>
      <c r="BU6" s="69">
        <v>561.53800000000001</v>
      </c>
      <c r="BV6" s="69">
        <v>538.46199999999999</v>
      </c>
      <c r="BW6" s="69">
        <v>512.82100000000003</v>
      </c>
      <c r="BX6" s="69">
        <v>500</v>
      </c>
      <c r="BY6" s="69">
        <v>479.48700000000002</v>
      </c>
      <c r="BZ6" s="69">
        <v>297.43600000000004</v>
      </c>
      <c r="CA6" s="69">
        <v>297.43600000000004</v>
      </c>
      <c r="CB6" s="69">
        <v>312.82100000000003</v>
      </c>
      <c r="CC6" s="69">
        <v>579.48700000000008</v>
      </c>
      <c r="CD6" s="69">
        <v>617.94899999999996</v>
      </c>
      <c r="CE6" s="69">
        <v>648.71799999999996</v>
      </c>
      <c r="CF6" s="69">
        <v>684.61500000000001</v>
      </c>
      <c r="CG6" s="69">
        <v>707.69200000000001</v>
      </c>
      <c r="CH6" s="69">
        <v>720.51299999999992</v>
      </c>
      <c r="CI6" s="69">
        <v>738.46199999999999</v>
      </c>
      <c r="CJ6" s="69">
        <v>751.28200000000004</v>
      </c>
      <c r="CK6" s="69">
        <v>766.66700000000003</v>
      </c>
      <c r="CL6" s="69">
        <v>776.923</v>
      </c>
      <c r="CM6" s="69">
        <v>797.43600000000004</v>
      </c>
      <c r="CN6" s="69">
        <v>817.94899999999996</v>
      </c>
      <c r="CO6" s="69">
        <v>833.33299999999997</v>
      </c>
      <c r="CP6" s="69">
        <v>851.28200000000004</v>
      </c>
      <c r="CQ6" s="69">
        <v>864.10300000000007</v>
      </c>
      <c r="CR6" s="69">
        <v>879.48700000000008</v>
      </c>
      <c r="CS6" s="69">
        <v>894.87200000000007</v>
      </c>
      <c r="CT6" s="69">
        <v>933.33299999999997</v>
      </c>
      <c r="CU6" s="69">
        <v>953.846</v>
      </c>
      <c r="CV6" s="69">
        <v>982.05100000000004</v>
      </c>
      <c r="CW6" s="69">
        <v>566.66700000000003</v>
      </c>
      <c r="CX6" s="69">
        <v>592.30799999999999</v>
      </c>
      <c r="CY6" s="69">
        <v>607.69200000000001</v>
      </c>
      <c r="CZ6" s="69">
        <v>630.76900000000001</v>
      </c>
      <c r="DA6" s="69">
        <v>641.02599999999995</v>
      </c>
      <c r="DB6" s="69">
        <v>643.58999999999992</v>
      </c>
      <c r="DC6" s="69">
        <v>743.58999999999992</v>
      </c>
      <c r="DD6" s="69">
        <v>712.82100000000003</v>
      </c>
      <c r="DE6" s="69">
        <v>679.48700000000008</v>
      </c>
      <c r="DF6" s="69">
        <v>658.97400000000005</v>
      </c>
      <c r="DG6" s="69">
        <v>630.76900000000001</v>
      </c>
      <c r="DH6" s="69">
        <v>612.82100000000003</v>
      </c>
      <c r="DI6" s="69">
        <v>587.17899999999997</v>
      </c>
      <c r="DJ6" s="69">
        <v>551.28200000000004</v>
      </c>
      <c r="DK6" s="69">
        <v>523.077</v>
      </c>
      <c r="DL6" s="69">
        <v>497.43600000000004</v>
      </c>
      <c r="DM6" s="69">
        <v>474.35899999999998</v>
      </c>
      <c r="DN6" s="69">
        <v>448.71800000000002</v>
      </c>
      <c r="DO6" s="69">
        <v>487.17899999999997</v>
      </c>
      <c r="DP6" s="69">
        <v>512.82100000000003</v>
      </c>
      <c r="DQ6" s="69">
        <v>541.02600000000007</v>
      </c>
      <c r="DR6" s="69">
        <v>561.53800000000001</v>
      </c>
      <c r="DS6" s="69">
        <v>520.51299999999992</v>
      </c>
      <c r="DT6" s="69">
        <v>487.17899999999997</v>
      </c>
      <c r="DU6" s="69">
        <v>471.79499999999996</v>
      </c>
      <c r="DV6" s="69">
        <v>461.53799999999995</v>
      </c>
      <c r="DW6" s="69">
        <v>505.12799999999999</v>
      </c>
      <c r="DX6" s="69">
        <v>538.46199999999999</v>
      </c>
      <c r="DY6" s="69">
        <v>574.35899999999992</v>
      </c>
      <c r="DZ6" s="69">
        <v>600</v>
      </c>
      <c r="EA6" s="69">
        <v>641.02599999999995</v>
      </c>
      <c r="EB6" s="69">
        <v>669.23099999999999</v>
      </c>
      <c r="EC6" s="69">
        <v>712.82100000000003</v>
      </c>
      <c r="ED6" s="69">
        <v>743.58999999999992</v>
      </c>
      <c r="EE6" s="69">
        <v>782.05100000000004</v>
      </c>
      <c r="EF6" s="69">
        <v>679.48700000000008</v>
      </c>
      <c r="EG6" s="69">
        <v>684.61500000000001</v>
      </c>
      <c r="EH6" s="69">
        <v>682.05100000000004</v>
      </c>
      <c r="EI6" s="69">
        <v>376.923</v>
      </c>
      <c r="EJ6" s="69">
        <v>394.87200000000001</v>
      </c>
      <c r="EK6" s="69">
        <v>912.82100000000003</v>
      </c>
      <c r="EL6" s="69">
        <v>500</v>
      </c>
      <c r="EM6" s="69">
        <v>479.48700000000002</v>
      </c>
      <c r="EN6" s="69">
        <v>441.02600000000001</v>
      </c>
    </row>
    <row r="7" spans="2:144" x14ac:dyDescent="0.2">
      <c r="B7" s="68" t="s">
        <v>2</v>
      </c>
      <c r="C7" s="69">
        <v>971.79500000000007</v>
      </c>
      <c r="D7" s="69">
        <v>960.25599999999997</v>
      </c>
      <c r="E7" s="69">
        <v>944.87200000000007</v>
      </c>
      <c r="F7" s="69">
        <v>914.10300000000007</v>
      </c>
      <c r="G7" s="69">
        <v>883.33299999999997</v>
      </c>
      <c r="H7" s="69">
        <v>848.71799999999996</v>
      </c>
      <c r="I7" s="69">
        <v>798.71799999999996</v>
      </c>
      <c r="J7" s="69">
        <v>775.64099999999996</v>
      </c>
      <c r="K7" s="69">
        <v>744.87200000000007</v>
      </c>
      <c r="L7" s="69">
        <v>714.10300000000007</v>
      </c>
      <c r="M7" s="69">
        <v>664.10300000000007</v>
      </c>
      <c r="N7" s="69">
        <v>617.94899999999996</v>
      </c>
      <c r="O7" s="69">
        <v>571.79499999999996</v>
      </c>
      <c r="P7" s="69">
        <v>529.48700000000008</v>
      </c>
      <c r="Q7" s="69">
        <v>510.25599999999997</v>
      </c>
      <c r="R7" s="69">
        <v>510.25599999999997</v>
      </c>
      <c r="S7" s="69">
        <v>510.25599999999997</v>
      </c>
      <c r="T7" s="69">
        <v>514.10299999999995</v>
      </c>
      <c r="U7" s="69">
        <v>514.10299999999995</v>
      </c>
      <c r="V7" s="69">
        <v>529.48700000000008</v>
      </c>
      <c r="W7" s="69">
        <v>541.02600000000007</v>
      </c>
      <c r="X7" s="69">
        <v>552.56399999999996</v>
      </c>
      <c r="Y7" s="69">
        <v>556.41</v>
      </c>
      <c r="Z7" s="69">
        <v>560.25599999999997</v>
      </c>
      <c r="AA7" s="69">
        <v>579.48700000000008</v>
      </c>
      <c r="AB7" s="69">
        <v>621.79499999999996</v>
      </c>
      <c r="AC7" s="69">
        <v>664.10300000000007</v>
      </c>
      <c r="AD7" s="69">
        <v>691.02599999999995</v>
      </c>
      <c r="AE7" s="69">
        <v>552.56399999999996</v>
      </c>
      <c r="AF7" s="69">
        <v>498.71800000000002</v>
      </c>
      <c r="AG7" s="69">
        <v>460.25599999999997</v>
      </c>
      <c r="AH7" s="69">
        <v>383.33300000000003</v>
      </c>
      <c r="AI7" s="69">
        <v>421.79499999999996</v>
      </c>
      <c r="AJ7" s="69">
        <v>441.02600000000001</v>
      </c>
      <c r="AK7" s="69">
        <v>364.10300000000001</v>
      </c>
      <c r="AL7" s="69">
        <v>325.64100000000002</v>
      </c>
      <c r="AM7" s="69">
        <v>314.10300000000001</v>
      </c>
      <c r="AN7" s="69">
        <v>302.56399999999996</v>
      </c>
      <c r="AO7" s="69">
        <v>321.79499999999996</v>
      </c>
      <c r="AP7" s="69">
        <v>367.94899999999996</v>
      </c>
      <c r="AQ7" s="69">
        <v>414.10300000000001</v>
      </c>
      <c r="AR7" s="69">
        <v>456.40999999999997</v>
      </c>
      <c r="AS7" s="69">
        <v>491.02600000000001</v>
      </c>
      <c r="AT7" s="69">
        <v>360.25599999999997</v>
      </c>
      <c r="AU7" s="69">
        <v>321.79499999999996</v>
      </c>
      <c r="AV7" s="69">
        <v>291.02600000000001</v>
      </c>
      <c r="AW7" s="69">
        <v>267.94899999999996</v>
      </c>
      <c r="AX7" s="69">
        <v>252.56399999999999</v>
      </c>
      <c r="AY7" s="69">
        <v>252.56399999999999</v>
      </c>
      <c r="AZ7" s="69">
        <v>256.40999999999997</v>
      </c>
      <c r="BA7" s="69">
        <v>287.18</v>
      </c>
      <c r="BB7" s="69">
        <v>314.10300000000001</v>
      </c>
      <c r="BC7" s="69">
        <v>348.71800000000002</v>
      </c>
      <c r="BD7" s="69">
        <v>375.64100000000002</v>
      </c>
      <c r="BE7" s="69">
        <v>406.40999999999997</v>
      </c>
      <c r="BF7" s="69">
        <v>421.79499999999996</v>
      </c>
      <c r="BG7" s="69">
        <v>444.87200000000001</v>
      </c>
      <c r="BH7" s="69">
        <v>460.25599999999997</v>
      </c>
      <c r="BI7" s="69">
        <v>467.94899999999996</v>
      </c>
      <c r="BJ7" s="69">
        <v>479.48700000000002</v>
      </c>
      <c r="BK7" s="69">
        <v>537.18000000000006</v>
      </c>
      <c r="BL7" s="69">
        <v>606.41</v>
      </c>
      <c r="BM7" s="69">
        <v>644.87200000000007</v>
      </c>
      <c r="BN7" s="69">
        <v>694.87200000000007</v>
      </c>
      <c r="BO7" s="69">
        <v>798.71799999999996</v>
      </c>
      <c r="BP7" s="69">
        <v>841.02599999999995</v>
      </c>
      <c r="BQ7" s="69">
        <v>852.56399999999996</v>
      </c>
      <c r="BR7" s="69">
        <v>852.56399999999996</v>
      </c>
      <c r="BS7" s="69">
        <v>860.25599999999997</v>
      </c>
      <c r="BT7" s="69">
        <v>860.25599999999997</v>
      </c>
      <c r="BU7" s="69">
        <v>829.48700000000008</v>
      </c>
      <c r="BV7" s="69">
        <v>806.41000000000008</v>
      </c>
      <c r="BW7" s="69">
        <v>787.18000000000006</v>
      </c>
      <c r="BX7" s="69">
        <v>787.18000000000006</v>
      </c>
      <c r="BY7" s="69">
        <v>775.64099999999996</v>
      </c>
      <c r="BZ7" s="69">
        <v>598.71799999999996</v>
      </c>
      <c r="CA7" s="69">
        <v>621.79499999999996</v>
      </c>
      <c r="CB7" s="69">
        <v>625.64100000000008</v>
      </c>
      <c r="CC7" s="69">
        <v>994.87200000000007</v>
      </c>
      <c r="CD7" s="69">
        <v>991.02599999999995</v>
      </c>
      <c r="CE7" s="69">
        <v>975.64099999999996</v>
      </c>
      <c r="CF7" s="69">
        <v>941.02599999999995</v>
      </c>
      <c r="CG7" s="69">
        <v>910.25599999999997</v>
      </c>
      <c r="CH7" s="69">
        <v>864.10300000000007</v>
      </c>
      <c r="CI7" s="69">
        <v>833.33299999999997</v>
      </c>
      <c r="CJ7" s="69">
        <v>791.02599999999995</v>
      </c>
      <c r="CK7" s="69">
        <v>752.56399999999996</v>
      </c>
      <c r="CL7" s="69">
        <v>714.10300000000007</v>
      </c>
      <c r="CM7" s="69">
        <v>667.94899999999996</v>
      </c>
      <c r="CN7" s="69">
        <v>602.56399999999996</v>
      </c>
      <c r="CO7" s="69">
        <v>552.56399999999996</v>
      </c>
      <c r="CP7" s="69">
        <v>514.10299999999995</v>
      </c>
      <c r="CQ7" s="69">
        <v>475.64100000000002</v>
      </c>
      <c r="CR7" s="69">
        <v>460.25599999999997</v>
      </c>
      <c r="CS7" s="69">
        <v>425.64100000000002</v>
      </c>
      <c r="CT7" s="69">
        <v>398.71800000000002</v>
      </c>
      <c r="CU7" s="69">
        <v>367.94899999999996</v>
      </c>
      <c r="CV7" s="69">
        <v>337.18000000000006</v>
      </c>
      <c r="CW7" s="69">
        <v>406.40999999999997</v>
      </c>
      <c r="CX7" s="69">
        <v>383.33300000000003</v>
      </c>
      <c r="CY7" s="69">
        <v>337.18000000000006</v>
      </c>
      <c r="CZ7" s="69">
        <v>291.02600000000001</v>
      </c>
      <c r="DA7" s="69">
        <v>252.56399999999999</v>
      </c>
      <c r="DB7" s="69">
        <v>241.02599999999998</v>
      </c>
      <c r="DC7" s="69">
        <v>229.48699999999999</v>
      </c>
      <c r="DD7" s="69">
        <v>229.48699999999999</v>
      </c>
      <c r="DE7" s="69">
        <v>221.79500000000002</v>
      </c>
      <c r="DF7" s="69">
        <v>202.56399999999999</v>
      </c>
      <c r="DG7" s="69">
        <v>191.02599999999998</v>
      </c>
      <c r="DH7" s="69">
        <v>191.02599999999998</v>
      </c>
      <c r="DI7" s="69">
        <v>183.33300000000003</v>
      </c>
      <c r="DJ7" s="69">
        <v>183.33300000000003</v>
      </c>
      <c r="DK7" s="69">
        <v>183.33300000000003</v>
      </c>
      <c r="DL7" s="69">
        <v>175.64099999999999</v>
      </c>
      <c r="DM7" s="69">
        <v>160.256</v>
      </c>
      <c r="DN7" s="69">
        <v>137.18</v>
      </c>
      <c r="DO7" s="69">
        <v>148.71800000000002</v>
      </c>
      <c r="DP7" s="69">
        <v>148.71800000000002</v>
      </c>
      <c r="DQ7" s="69">
        <v>148.71800000000002</v>
      </c>
      <c r="DR7" s="69">
        <v>141.02600000000001</v>
      </c>
      <c r="DS7" s="69">
        <v>125.64099999999999</v>
      </c>
      <c r="DT7" s="69">
        <v>110.256</v>
      </c>
      <c r="DU7" s="69">
        <v>98.718000000000004</v>
      </c>
      <c r="DV7" s="69">
        <v>60.256</v>
      </c>
      <c r="DW7" s="69">
        <v>94.872</v>
      </c>
      <c r="DX7" s="69">
        <v>102.56399999999999</v>
      </c>
      <c r="DY7" s="69">
        <v>102.56399999999999</v>
      </c>
      <c r="DZ7" s="69">
        <v>106.41</v>
      </c>
      <c r="EA7" s="69">
        <v>106.41</v>
      </c>
      <c r="EB7" s="69">
        <v>106.41</v>
      </c>
      <c r="EC7" s="69">
        <v>106.41</v>
      </c>
      <c r="ED7" s="69">
        <v>106.41</v>
      </c>
      <c r="EE7" s="69">
        <v>106.41</v>
      </c>
      <c r="EF7" s="69">
        <v>87.18</v>
      </c>
      <c r="EG7" s="69">
        <v>52.564</v>
      </c>
      <c r="EH7" s="69">
        <v>29.487000000000002</v>
      </c>
      <c r="EI7" s="69">
        <v>257.69200000000001</v>
      </c>
      <c r="EJ7" s="69">
        <v>253.846</v>
      </c>
      <c r="EK7" s="69">
        <v>415.38499999999999</v>
      </c>
      <c r="EL7" s="69">
        <v>957.69200000000001</v>
      </c>
      <c r="EM7" s="69">
        <v>950</v>
      </c>
      <c r="EN7" s="69">
        <v>926.923</v>
      </c>
    </row>
    <row r="9" spans="2:144" x14ac:dyDescent="0.2">
      <c r="B9" s="67"/>
      <c r="C9" s="39"/>
    </row>
    <row r="11" spans="2:144" x14ac:dyDescent="0.2">
      <c r="B11" s="67"/>
      <c r="C11" s="39"/>
    </row>
    <row r="12" spans="2:144" x14ac:dyDescent="0.2">
      <c r="B12" s="67"/>
      <c r="C12" s="59"/>
    </row>
    <row r="14" spans="2:144" x14ac:dyDescent="0.2">
      <c r="B14" s="67"/>
    </row>
    <row r="17" spans="1:7" x14ac:dyDescent="0.2">
      <c r="B17" s="67"/>
    </row>
    <row r="18" spans="1:7" x14ac:dyDescent="0.2">
      <c r="C18" s="73"/>
    </row>
    <row r="19" spans="1:7" x14ac:dyDescent="0.2">
      <c r="C19" s="73"/>
    </row>
    <row r="21" spans="1:7" x14ac:dyDescent="0.2">
      <c r="B21" s="67"/>
    </row>
    <row r="22" spans="1:7" x14ac:dyDescent="0.2">
      <c r="C22" s="56"/>
    </row>
    <row r="23" spans="1:7" x14ac:dyDescent="0.2">
      <c r="C23" s="56"/>
    </row>
    <row r="24" spans="1:7" x14ac:dyDescent="0.2">
      <c r="C24" s="56"/>
    </row>
    <row r="25" spans="1:7" x14ac:dyDescent="0.2">
      <c r="B25" s="67"/>
    </row>
    <row r="26" spans="1:7" x14ac:dyDescent="0.2">
      <c r="A26" s="56"/>
      <c r="C26" s="56"/>
      <c r="G26" s="56"/>
    </row>
    <row r="27" spans="1:7" x14ac:dyDescent="0.2">
      <c r="A27" s="56"/>
      <c r="C27" s="56"/>
      <c r="G27" s="56"/>
    </row>
    <row r="29" spans="1:7" x14ac:dyDescent="0.2">
      <c r="B29" s="67"/>
    </row>
    <row r="30" spans="1:7" x14ac:dyDescent="0.2">
      <c r="A30" s="56"/>
      <c r="C30" s="56"/>
      <c r="G30" s="56"/>
    </row>
    <row r="31" spans="1:7" x14ac:dyDescent="0.2">
      <c r="A31" s="56"/>
      <c r="C31" s="59"/>
      <c r="G31" s="56"/>
    </row>
    <row r="32" spans="1:7" x14ac:dyDescent="0.2">
      <c r="C32" s="59"/>
    </row>
    <row r="33" spans="2:3" x14ac:dyDescent="0.2">
      <c r="C33" s="56"/>
    </row>
    <row r="34" spans="2:3" x14ac:dyDescent="0.2">
      <c r="C34" s="59"/>
    </row>
    <row r="36" spans="2:3" x14ac:dyDescent="0.2">
      <c r="B36" s="67"/>
    </row>
    <row r="37" spans="2:3" x14ac:dyDescent="0.2">
      <c r="C37" s="59"/>
    </row>
    <row r="38" spans="2:3" x14ac:dyDescent="0.2">
      <c r="C38" s="59"/>
    </row>
    <row r="39" spans="2:3" x14ac:dyDescent="0.2">
      <c r="C39" s="59"/>
    </row>
    <row r="40" spans="2:3" x14ac:dyDescent="0.2">
      <c r="C40" s="56"/>
    </row>
    <row r="41" spans="2:3" x14ac:dyDescent="0.2">
      <c r="C41" s="5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63E32-D334-407F-8BF3-222AB88B5A7C}">
  <dimension ref="A2:EN41"/>
  <sheetViews>
    <sheetView showGridLines="0" zoomScale="160" zoomScaleNormal="160" workbookViewId="0">
      <selection activeCell="F14" sqref="F14"/>
    </sheetView>
  </sheetViews>
  <sheetFormatPr baseColWidth="10" defaultColWidth="11.1640625" defaultRowHeight="12" x14ac:dyDescent="0.2"/>
  <cols>
    <col min="1" max="1" width="9.1640625" style="52" customWidth="1"/>
    <col min="2" max="2" width="35.5" style="52" customWidth="1"/>
    <col min="3" max="144" width="11.6640625" style="52" bestFit="1" customWidth="1"/>
    <col min="145" max="16384" width="11.1640625" style="52"/>
  </cols>
  <sheetData>
    <row r="2" spans="2:144" ht="18.75" x14ac:dyDescent="0.3">
      <c r="B2" s="64" t="s">
        <v>21</v>
      </c>
    </row>
    <row r="3" spans="2:144" x14ac:dyDescent="0.2">
      <c r="B3" s="52" t="s">
        <v>22</v>
      </c>
    </row>
    <row r="5" spans="2:144" s="67" customFormat="1" x14ac:dyDescent="0.2">
      <c r="B5" s="65" t="s">
        <v>0</v>
      </c>
      <c r="C5" s="66">
        <v>46023</v>
      </c>
      <c r="D5" s="66">
        <v>46024</v>
      </c>
      <c r="E5" s="66">
        <v>46025</v>
      </c>
      <c r="F5" s="66">
        <v>46026</v>
      </c>
      <c r="G5" s="66">
        <v>46027</v>
      </c>
      <c r="H5" s="66">
        <v>46028</v>
      </c>
      <c r="I5" s="66">
        <v>46029</v>
      </c>
      <c r="J5" s="66">
        <v>46030</v>
      </c>
      <c r="K5" s="66">
        <v>46031</v>
      </c>
      <c r="L5" s="66">
        <v>46032</v>
      </c>
      <c r="M5" s="66">
        <v>46033</v>
      </c>
      <c r="N5" s="66">
        <v>46034</v>
      </c>
      <c r="O5" s="66">
        <v>46035</v>
      </c>
      <c r="P5" s="66">
        <v>46036</v>
      </c>
      <c r="Q5" s="66">
        <v>46037</v>
      </c>
      <c r="R5" s="66">
        <v>46038</v>
      </c>
      <c r="S5" s="66">
        <v>46039</v>
      </c>
      <c r="T5" s="66">
        <v>46040</v>
      </c>
      <c r="U5" s="66">
        <v>46041</v>
      </c>
      <c r="V5" s="66">
        <v>46042</v>
      </c>
      <c r="W5" s="66">
        <v>46043</v>
      </c>
      <c r="X5" s="66">
        <v>46044</v>
      </c>
      <c r="Y5" s="66">
        <v>46045</v>
      </c>
      <c r="Z5" s="66">
        <v>46046</v>
      </c>
      <c r="AA5" s="66">
        <v>46047</v>
      </c>
      <c r="AB5" s="66">
        <v>46048</v>
      </c>
      <c r="AC5" s="66">
        <v>46049</v>
      </c>
      <c r="AD5" s="66">
        <v>46050</v>
      </c>
      <c r="AE5" s="66">
        <v>46051</v>
      </c>
      <c r="AF5" s="66">
        <v>46052</v>
      </c>
      <c r="AG5" s="66">
        <v>46053</v>
      </c>
      <c r="AH5" s="66">
        <v>46054</v>
      </c>
      <c r="AI5" s="66">
        <v>46055</v>
      </c>
      <c r="AJ5" s="66">
        <v>46056</v>
      </c>
      <c r="AK5" s="66">
        <v>46057</v>
      </c>
      <c r="AL5" s="66">
        <v>46058</v>
      </c>
      <c r="AM5" s="66">
        <v>46059</v>
      </c>
      <c r="AN5" s="66">
        <v>46060</v>
      </c>
      <c r="AO5" s="66">
        <v>46061</v>
      </c>
      <c r="AP5" s="66">
        <v>46062</v>
      </c>
      <c r="AQ5" s="66">
        <v>46063</v>
      </c>
      <c r="AR5" s="66">
        <v>46064</v>
      </c>
      <c r="AS5" s="66">
        <v>46065</v>
      </c>
      <c r="AT5" s="66">
        <v>46066</v>
      </c>
      <c r="AU5" s="66">
        <v>46067</v>
      </c>
      <c r="AV5" s="66">
        <v>46068</v>
      </c>
      <c r="AW5" s="66">
        <v>46069</v>
      </c>
      <c r="AX5" s="66">
        <v>46070</v>
      </c>
      <c r="AY5" s="66">
        <v>46071</v>
      </c>
      <c r="AZ5" s="66">
        <v>46072</v>
      </c>
      <c r="BA5" s="66">
        <v>46073</v>
      </c>
      <c r="BB5" s="66">
        <v>46074</v>
      </c>
      <c r="BC5" s="66">
        <v>46075</v>
      </c>
      <c r="BD5" s="66">
        <v>46076</v>
      </c>
      <c r="BE5" s="66">
        <v>46077</v>
      </c>
      <c r="BF5" s="66">
        <v>46078</v>
      </c>
      <c r="BG5" s="66">
        <v>46079</v>
      </c>
      <c r="BH5" s="66">
        <v>46080</v>
      </c>
      <c r="BI5" s="66">
        <v>46081</v>
      </c>
      <c r="BJ5" s="66">
        <v>46082</v>
      </c>
      <c r="BK5" s="66">
        <v>46083</v>
      </c>
      <c r="BL5" s="66">
        <v>46084</v>
      </c>
      <c r="BM5" s="66">
        <v>46085</v>
      </c>
      <c r="BN5" s="66">
        <v>46086</v>
      </c>
      <c r="BO5" s="66">
        <v>46087</v>
      </c>
      <c r="BP5" s="66">
        <v>46088</v>
      </c>
      <c r="BQ5" s="66">
        <v>46089</v>
      </c>
      <c r="BR5" s="66">
        <v>46090</v>
      </c>
      <c r="BS5" s="66">
        <v>46091</v>
      </c>
      <c r="BT5" s="66">
        <v>46092</v>
      </c>
      <c r="BU5" s="66">
        <v>46093</v>
      </c>
      <c r="BV5" s="66">
        <v>46094</v>
      </c>
      <c r="BW5" s="66">
        <v>46095</v>
      </c>
      <c r="BX5" s="66">
        <v>46096</v>
      </c>
      <c r="BY5" s="66">
        <v>46097</v>
      </c>
      <c r="BZ5" s="66">
        <v>46098</v>
      </c>
      <c r="CA5" s="66">
        <v>46099</v>
      </c>
      <c r="CB5" s="66">
        <v>46100</v>
      </c>
      <c r="CC5" s="66">
        <v>46101</v>
      </c>
      <c r="CD5" s="66">
        <v>46102</v>
      </c>
      <c r="CE5" s="66">
        <v>46103</v>
      </c>
      <c r="CF5" s="66">
        <v>46104</v>
      </c>
      <c r="CG5" s="66">
        <v>46105</v>
      </c>
      <c r="CH5" s="66">
        <v>46106</v>
      </c>
      <c r="CI5" s="66">
        <v>46107</v>
      </c>
      <c r="CJ5" s="66">
        <v>46108</v>
      </c>
      <c r="CK5" s="66">
        <v>46109</v>
      </c>
      <c r="CL5" s="66">
        <v>46110</v>
      </c>
      <c r="CM5" s="66">
        <v>46111</v>
      </c>
      <c r="CN5" s="66">
        <v>46112</v>
      </c>
      <c r="CO5" s="66">
        <v>46113</v>
      </c>
      <c r="CP5" s="66">
        <v>46114</v>
      </c>
      <c r="CQ5" s="66">
        <v>46115</v>
      </c>
      <c r="CR5" s="66">
        <v>46116</v>
      </c>
      <c r="CS5" s="66">
        <v>46117</v>
      </c>
      <c r="CT5" s="66">
        <v>46118</v>
      </c>
      <c r="CU5" s="66">
        <v>46119</v>
      </c>
      <c r="CV5" s="66">
        <v>46120</v>
      </c>
      <c r="CW5" s="66">
        <v>46121</v>
      </c>
      <c r="CX5" s="66">
        <v>46122</v>
      </c>
      <c r="CY5" s="66">
        <v>46123</v>
      </c>
      <c r="CZ5" s="66">
        <v>46124</v>
      </c>
      <c r="DA5" s="66">
        <v>46125</v>
      </c>
      <c r="DB5" s="66">
        <v>46126</v>
      </c>
      <c r="DC5" s="66">
        <v>46127</v>
      </c>
      <c r="DD5" s="66">
        <v>46128</v>
      </c>
      <c r="DE5" s="66">
        <v>46129</v>
      </c>
      <c r="DF5" s="66">
        <v>46130</v>
      </c>
      <c r="DG5" s="66">
        <v>46131</v>
      </c>
      <c r="DH5" s="66">
        <v>46132</v>
      </c>
      <c r="DI5" s="66">
        <v>46133</v>
      </c>
      <c r="DJ5" s="66">
        <v>46134</v>
      </c>
      <c r="DK5" s="66">
        <v>46135</v>
      </c>
      <c r="DL5" s="66">
        <v>46136</v>
      </c>
      <c r="DM5" s="66">
        <v>46137</v>
      </c>
      <c r="DN5" s="66">
        <v>46138</v>
      </c>
      <c r="DO5" s="66">
        <v>46139</v>
      </c>
      <c r="DP5" s="66">
        <v>46140</v>
      </c>
      <c r="DQ5" s="66">
        <v>46141</v>
      </c>
      <c r="DR5" s="66">
        <v>46142</v>
      </c>
      <c r="DS5" s="66">
        <v>46143</v>
      </c>
      <c r="DT5" s="66">
        <v>46144</v>
      </c>
      <c r="DU5" s="66">
        <v>46145</v>
      </c>
      <c r="DV5" s="66">
        <v>46146</v>
      </c>
      <c r="DW5" s="66">
        <v>46147</v>
      </c>
      <c r="DX5" s="66">
        <v>46148</v>
      </c>
      <c r="DY5" s="66">
        <v>46149</v>
      </c>
      <c r="DZ5" s="66">
        <v>46150</v>
      </c>
      <c r="EA5" s="66">
        <v>46151</v>
      </c>
      <c r="EB5" s="66">
        <v>46152</v>
      </c>
      <c r="EC5" s="66">
        <v>46153</v>
      </c>
      <c r="ED5" s="66">
        <v>46154</v>
      </c>
      <c r="EE5" s="66">
        <v>46155</v>
      </c>
      <c r="EF5" s="66">
        <v>46156</v>
      </c>
      <c r="EG5" s="66">
        <v>46157</v>
      </c>
      <c r="EH5" s="66">
        <v>46158</v>
      </c>
      <c r="EI5" s="66">
        <v>46159</v>
      </c>
      <c r="EJ5" s="66">
        <v>46160</v>
      </c>
      <c r="EK5" s="66">
        <v>46161</v>
      </c>
      <c r="EL5" s="66">
        <v>46162</v>
      </c>
      <c r="EM5" s="66">
        <v>46163</v>
      </c>
      <c r="EN5" s="66">
        <v>46164</v>
      </c>
    </row>
    <row r="6" spans="2:144" x14ac:dyDescent="0.2">
      <c r="B6" s="68" t="s">
        <v>1</v>
      </c>
      <c r="C6" s="69">
        <v>553.846</v>
      </c>
      <c r="D6" s="69">
        <v>515.38499999999999</v>
      </c>
      <c r="E6" s="69">
        <v>461.53799999999995</v>
      </c>
      <c r="F6" s="69">
        <v>428.20500000000004</v>
      </c>
      <c r="G6" s="69">
        <v>407.69200000000001</v>
      </c>
      <c r="H6" s="69">
        <v>387.17899999999997</v>
      </c>
      <c r="I6" s="69">
        <v>356.40999999999997</v>
      </c>
      <c r="J6" s="69">
        <v>330.76900000000001</v>
      </c>
      <c r="K6" s="69">
        <v>289.74399999999997</v>
      </c>
      <c r="L6" s="69">
        <v>261.53800000000001</v>
      </c>
      <c r="M6" s="69">
        <v>230.76899999999998</v>
      </c>
      <c r="N6" s="69">
        <v>223.077</v>
      </c>
      <c r="O6" s="69">
        <v>223.077</v>
      </c>
      <c r="P6" s="69">
        <v>233.33300000000003</v>
      </c>
      <c r="Q6" s="69">
        <v>258.97399999999999</v>
      </c>
      <c r="R6" s="69">
        <v>294.87200000000001</v>
      </c>
      <c r="S6" s="69">
        <v>328.20500000000004</v>
      </c>
      <c r="T6" s="69">
        <v>353.846</v>
      </c>
      <c r="U6" s="69">
        <v>402.56399999999996</v>
      </c>
      <c r="V6" s="69">
        <v>441.02600000000001</v>
      </c>
      <c r="W6" s="69">
        <v>466.66699999999997</v>
      </c>
      <c r="X6" s="69">
        <v>500</v>
      </c>
      <c r="Y6" s="69">
        <v>530.76900000000001</v>
      </c>
      <c r="Z6" s="69">
        <v>566.66700000000003</v>
      </c>
      <c r="AA6" s="69">
        <v>592.30799999999999</v>
      </c>
      <c r="AB6" s="69">
        <v>612.82100000000003</v>
      </c>
      <c r="AC6" s="69">
        <v>615.38499999999999</v>
      </c>
      <c r="AD6" s="69">
        <v>617.94899999999996</v>
      </c>
      <c r="AE6" s="69">
        <v>574.35899999999992</v>
      </c>
      <c r="AF6" s="69">
        <v>548.71799999999996</v>
      </c>
      <c r="AG6" s="69">
        <v>525.64100000000008</v>
      </c>
      <c r="AH6" s="69">
        <v>482.05100000000004</v>
      </c>
      <c r="AI6" s="69">
        <v>494.87200000000001</v>
      </c>
      <c r="AJ6" s="69">
        <v>510.25599999999997</v>
      </c>
      <c r="AK6" s="69">
        <v>453.846</v>
      </c>
      <c r="AL6" s="69">
        <v>428.20500000000004</v>
      </c>
      <c r="AM6" s="69">
        <v>387.17899999999997</v>
      </c>
      <c r="AN6" s="69">
        <v>351.28199999999998</v>
      </c>
      <c r="AO6" s="69">
        <v>325.64100000000002</v>
      </c>
      <c r="AP6" s="69">
        <v>300</v>
      </c>
      <c r="AQ6" s="69">
        <v>335.89699999999999</v>
      </c>
      <c r="AR6" s="69">
        <v>366.66699999999997</v>
      </c>
      <c r="AS6" s="69">
        <v>382.05100000000004</v>
      </c>
      <c r="AT6" s="69">
        <v>297.43600000000004</v>
      </c>
      <c r="AU6" s="69">
        <v>297.43600000000004</v>
      </c>
      <c r="AV6" s="69">
        <v>300</v>
      </c>
      <c r="AW6" s="69">
        <v>320.51299999999998</v>
      </c>
      <c r="AX6" s="69">
        <v>358.97399999999999</v>
      </c>
      <c r="AY6" s="69">
        <v>410.25599999999997</v>
      </c>
      <c r="AZ6" s="69">
        <v>441.02600000000001</v>
      </c>
      <c r="BA6" s="69">
        <v>471.79499999999996</v>
      </c>
      <c r="BB6" s="69">
        <v>494.87200000000001</v>
      </c>
      <c r="BC6" s="69">
        <v>515.38499999999999</v>
      </c>
      <c r="BD6" s="69">
        <v>535.89700000000005</v>
      </c>
      <c r="BE6" s="69">
        <v>551.28200000000004</v>
      </c>
      <c r="BF6" s="69">
        <v>566.66700000000003</v>
      </c>
      <c r="BG6" s="69">
        <v>592.30799999999999</v>
      </c>
      <c r="BH6" s="69">
        <v>623.077</v>
      </c>
      <c r="BI6" s="69">
        <v>648.71799999999996</v>
      </c>
      <c r="BJ6" s="69">
        <v>679.48700000000008</v>
      </c>
      <c r="BK6" s="69">
        <v>705.12799999999993</v>
      </c>
      <c r="BL6" s="69">
        <v>715.38499999999999</v>
      </c>
      <c r="BM6" s="69">
        <v>715.38499999999999</v>
      </c>
      <c r="BN6" s="69">
        <v>694.87200000000007</v>
      </c>
      <c r="BO6" s="69">
        <v>469.23099999999999</v>
      </c>
      <c r="BP6" s="69">
        <v>482.05100000000004</v>
      </c>
      <c r="BQ6" s="69">
        <v>500</v>
      </c>
      <c r="BR6" s="69">
        <v>530.76900000000001</v>
      </c>
      <c r="BS6" s="69">
        <v>553.846</v>
      </c>
      <c r="BT6" s="69">
        <v>566.66700000000003</v>
      </c>
      <c r="BU6" s="69">
        <v>561.53800000000001</v>
      </c>
      <c r="BV6" s="69">
        <v>538.46199999999999</v>
      </c>
      <c r="BW6" s="69">
        <v>512.82100000000003</v>
      </c>
      <c r="BX6" s="69">
        <v>500</v>
      </c>
      <c r="BY6" s="69">
        <v>479.48700000000002</v>
      </c>
      <c r="BZ6" s="69">
        <v>297.43600000000004</v>
      </c>
      <c r="CA6" s="69">
        <v>297.43600000000004</v>
      </c>
      <c r="CB6" s="69">
        <v>312.82100000000003</v>
      </c>
      <c r="CC6" s="69">
        <v>579.48700000000008</v>
      </c>
      <c r="CD6" s="69">
        <v>617.94899999999996</v>
      </c>
      <c r="CE6" s="69">
        <v>648.71799999999996</v>
      </c>
      <c r="CF6" s="69">
        <v>684.61500000000001</v>
      </c>
      <c r="CG6" s="69">
        <v>707.69200000000001</v>
      </c>
      <c r="CH6" s="69">
        <v>720.51299999999992</v>
      </c>
      <c r="CI6" s="69">
        <v>738.46199999999999</v>
      </c>
      <c r="CJ6" s="69">
        <v>751.28200000000004</v>
      </c>
      <c r="CK6" s="69">
        <v>766.66700000000003</v>
      </c>
      <c r="CL6" s="69">
        <v>776.923</v>
      </c>
      <c r="CM6" s="69">
        <v>797.43600000000004</v>
      </c>
      <c r="CN6" s="69">
        <v>817.94899999999996</v>
      </c>
      <c r="CO6" s="69">
        <v>833.33299999999997</v>
      </c>
      <c r="CP6" s="69">
        <v>851.28200000000004</v>
      </c>
      <c r="CQ6" s="69">
        <v>864.10300000000007</v>
      </c>
      <c r="CR6" s="69">
        <v>879.48700000000008</v>
      </c>
      <c r="CS6" s="69">
        <v>894.87200000000007</v>
      </c>
      <c r="CT6" s="69">
        <v>933.33299999999997</v>
      </c>
      <c r="CU6" s="69">
        <v>953.846</v>
      </c>
      <c r="CV6" s="69">
        <v>982.05100000000004</v>
      </c>
      <c r="CW6" s="69">
        <v>566.66700000000003</v>
      </c>
      <c r="CX6" s="69">
        <v>592.30799999999999</v>
      </c>
      <c r="CY6" s="69">
        <v>607.69200000000001</v>
      </c>
      <c r="CZ6" s="69">
        <v>630.76900000000001</v>
      </c>
      <c r="DA6" s="69">
        <v>641.02599999999995</v>
      </c>
      <c r="DB6" s="69">
        <v>643.58999999999992</v>
      </c>
      <c r="DC6" s="69">
        <v>743.58999999999992</v>
      </c>
      <c r="DD6" s="69">
        <v>712.82100000000003</v>
      </c>
      <c r="DE6" s="69">
        <v>679.48700000000008</v>
      </c>
      <c r="DF6" s="69">
        <v>658.97400000000005</v>
      </c>
      <c r="DG6" s="69">
        <v>630.76900000000001</v>
      </c>
      <c r="DH6" s="69">
        <v>612.82100000000003</v>
      </c>
      <c r="DI6" s="69">
        <v>587.17899999999997</v>
      </c>
      <c r="DJ6" s="69">
        <v>551.28200000000004</v>
      </c>
      <c r="DK6" s="69">
        <v>523.077</v>
      </c>
      <c r="DL6" s="69">
        <v>497.43600000000004</v>
      </c>
      <c r="DM6" s="69">
        <v>474.35899999999998</v>
      </c>
      <c r="DN6" s="69">
        <v>448.71800000000002</v>
      </c>
      <c r="DO6" s="69">
        <v>487.17899999999997</v>
      </c>
      <c r="DP6" s="69">
        <v>512.82100000000003</v>
      </c>
      <c r="DQ6" s="69">
        <v>541.02600000000007</v>
      </c>
      <c r="DR6" s="69">
        <v>561.53800000000001</v>
      </c>
      <c r="DS6" s="69">
        <v>520.51299999999992</v>
      </c>
      <c r="DT6" s="69">
        <v>487.17899999999997</v>
      </c>
      <c r="DU6" s="69">
        <v>471.79499999999996</v>
      </c>
      <c r="DV6" s="69">
        <v>461.53799999999995</v>
      </c>
      <c r="DW6" s="69">
        <v>505.12799999999999</v>
      </c>
      <c r="DX6" s="69">
        <v>538.46199999999999</v>
      </c>
      <c r="DY6" s="69">
        <v>574.35899999999992</v>
      </c>
      <c r="DZ6" s="69">
        <v>600</v>
      </c>
      <c r="EA6" s="69">
        <v>641.02599999999995</v>
      </c>
      <c r="EB6" s="69">
        <v>669.23099999999999</v>
      </c>
      <c r="EC6" s="69">
        <v>712.82100000000003</v>
      </c>
      <c r="ED6" s="69">
        <v>743.58999999999992</v>
      </c>
      <c r="EE6" s="69">
        <v>782.05100000000004</v>
      </c>
      <c r="EF6" s="69">
        <v>679.48700000000008</v>
      </c>
      <c r="EG6" s="69">
        <v>684.61500000000001</v>
      </c>
      <c r="EH6" s="69">
        <v>682.05100000000004</v>
      </c>
      <c r="EI6" s="69">
        <v>376.923</v>
      </c>
      <c r="EJ6" s="69">
        <v>394.87200000000001</v>
      </c>
      <c r="EK6" s="69">
        <v>912.82100000000003</v>
      </c>
      <c r="EL6" s="69">
        <v>500</v>
      </c>
      <c r="EM6" s="69">
        <v>479.48700000000002</v>
      </c>
      <c r="EN6" s="69">
        <v>441.02600000000001</v>
      </c>
    </row>
    <row r="7" spans="2:144" x14ac:dyDescent="0.2">
      <c r="B7" s="68" t="s">
        <v>2</v>
      </c>
      <c r="C7" s="69">
        <v>971.79500000000007</v>
      </c>
      <c r="D7" s="69">
        <v>960.25599999999997</v>
      </c>
      <c r="E7" s="69">
        <v>944.87200000000007</v>
      </c>
      <c r="F7" s="69">
        <v>914.10300000000007</v>
      </c>
      <c r="G7" s="69">
        <v>883.33299999999997</v>
      </c>
      <c r="H7" s="69">
        <v>848.71799999999996</v>
      </c>
      <c r="I7" s="69">
        <v>798.71799999999996</v>
      </c>
      <c r="J7" s="69">
        <v>775.64099999999996</v>
      </c>
      <c r="K7" s="69">
        <v>744.87200000000007</v>
      </c>
      <c r="L7" s="69">
        <v>714.10300000000007</v>
      </c>
      <c r="M7" s="69">
        <v>664.10300000000007</v>
      </c>
      <c r="N7" s="69">
        <v>617.94899999999996</v>
      </c>
      <c r="O7" s="69">
        <v>571.79499999999996</v>
      </c>
      <c r="P7" s="69">
        <v>529.48700000000008</v>
      </c>
      <c r="Q7" s="69">
        <v>510.25599999999997</v>
      </c>
      <c r="R7" s="69">
        <v>510.25599999999997</v>
      </c>
      <c r="S7" s="69">
        <v>510.25599999999997</v>
      </c>
      <c r="T7" s="69">
        <v>514.10299999999995</v>
      </c>
      <c r="U7" s="69">
        <v>514.10299999999995</v>
      </c>
      <c r="V7" s="69">
        <v>529.48700000000008</v>
      </c>
      <c r="W7" s="69">
        <v>541.02600000000007</v>
      </c>
      <c r="X7" s="69">
        <v>552.56399999999996</v>
      </c>
      <c r="Y7" s="69">
        <v>556.41</v>
      </c>
      <c r="Z7" s="69">
        <v>560.25599999999997</v>
      </c>
      <c r="AA7" s="69">
        <v>579.48700000000008</v>
      </c>
      <c r="AB7" s="69">
        <v>621.79499999999996</v>
      </c>
      <c r="AC7" s="69">
        <v>664.10300000000007</v>
      </c>
      <c r="AD7" s="69">
        <v>691.02599999999995</v>
      </c>
      <c r="AE7" s="69">
        <v>552.56399999999996</v>
      </c>
      <c r="AF7" s="69">
        <v>498.71800000000002</v>
      </c>
      <c r="AG7" s="69">
        <v>460.25599999999997</v>
      </c>
      <c r="AH7" s="69">
        <v>383.33300000000003</v>
      </c>
      <c r="AI7" s="69">
        <v>421.79499999999996</v>
      </c>
      <c r="AJ7" s="69">
        <v>441.02600000000001</v>
      </c>
      <c r="AK7" s="69">
        <v>364.10300000000001</v>
      </c>
      <c r="AL7" s="69">
        <v>325.64100000000002</v>
      </c>
      <c r="AM7" s="69">
        <v>314.10300000000001</v>
      </c>
      <c r="AN7" s="69">
        <v>302.56399999999996</v>
      </c>
      <c r="AO7" s="69">
        <v>321.79499999999996</v>
      </c>
      <c r="AP7" s="69">
        <v>367.94899999999996</v>
      </c>
      <c r="AQ7" s="69">
        <v>414.10300000000001</v>
      </c>
      <c r="AR7" s="69">
        <v>456.40999999999997</v>
      </c>
      <c r="AS7" s="69">
        <v>491.02600000000001</v>
      </c>
      <c r="AT7" s="69">
        <v>360.25599999999997</v>
      </c>
      <c r="AU7" s="69">
        <v>321.79499999999996</v>
      </c>
      <c r="AV7" s="69">
        <v>291.02600000000001</v>
      </c>
      <c r="AW7" s="69">
        <v>267.94899999999996</v>
      </c>
      <c r="AX7" s="69">
        <v>252.56399999999999</v>
      </c>
      <c r="AY7" s="69">
        <v>252.56399999999999</v>
      </c>
      <c r="AZ7" s="69">
        <v>256.40999999999997</v>
      </c>
      <c r="BA7" s="69">
        <v>287.18</v>
      </c>
      <c r="BB7" s="69">
        <v>314.10300000000001</v>
      </c>
      <c r="BC7" s="69">
        <v>348.71800000000002</v>
      </c>
      <c r="BD7" s="69">
        <v>375.64100000000002</v>
      </c>
      <c r="BE7" s="69">
        <v>406.40999999999997</v>
      </c>
      <c r="BF7" s="69">
        <v>421.79499999999996</v>
      </c>
      <c r="BG7" s="69">
        <v>444.87200000000001</v>
      </c>
      <c r="BH7" s="69">
        <v>460.25599999999997</v>
      </c>
      <c r="BI7" s="69">
        <v>467.94899999999996</v>
      </c>
      <c r="BJ7" s="69">
        <v>479.48700000000002</v>
      </c>
      <c r="BK7" s="69">
        <v>537.18000000000006</v>
      </c>
      <c r="BL7" s="69">
        <v>606.41</v>
      </c>
      <c r="BM7" s="69">
        <v>644.87200000000007</v>
      </c>
      <c r="BN7" s="69">
        <v>694.87200000000007</v>
      </c>
      <c r="BO7" s="69">
        <v>798.71799999999996</v>
      </c>
      <c r="BP7" s="69">
        <v>841.02599999999995</v>
      </c>
      <c r="BQ7" s="69">
        <v>852.56399999999996</v>
      </c>
      <c r="BR7" s="69">
        <v>852.56399999999996</v>
      </c>
      <c r="BS7" s="69">
        <v>860.25599999999997</v>
      </c>
      <c r="BT7" s="69">
        <v>860.25599999999997</v>
      </c>
      <c r="BU7" s="69">
        <v>829.48700000000008</v>
      </c>
      <c r="BV7" s="69">
        <v>806.41000000000008</v>
      </c>
      <c r="BW7" s="69">
        <v>787.18000000000006</v>
      </c>
      <c r="BX7" s="69">
        <v>787.18000000000006</v>
      </c>
      <c r="BY7" s="69">
        <v>775.64099999999996</v>
      </c>
      <c r="BZ7" s="69">
        <v>598.71799999999996</v>
      </c>
      <c r="CA7" s="69">
        <v>621.79499999999996</v>
      </c>
      <c r="CB7" s="69">
        <v>625.64100000000008</v>
      </c>
      <c r="CC7" s="69">
        <v>994.87200000000007</v>
      </c>
      <c r="CD7" s="69">
        <v>991.02599999999995</v>
      </c>
      <c r="CE7" s="69">
        <v>975.64099999999996</v>
      </c>
      <c r="CF7" s="69">
        <v>941.02599999999995</v>
      </c>
      <c r="CG7" s="69">
        <v>910.25599999999997</v>
      </c>
      <c r="CH7" s="69">
        <v>864.10300000000007</v>
      </c>
      <c r="CI7" s="69">
        <v>833.33299999999997</v>
      </c>
      <c r="CJ7" s="69">
        <v>791.02599999999995</v>
      </c>
      <c r="CK7" s="69">
        <v>752.56399999999996</v>
      </c>
      <c r="CL7" s="69">
        <v>714.10300000000007</v>
      </c>
      <c r="CM7" s="69">
        <v>667.94899999999996</v>
      </c>
      <c r="CN7" s="69">
        <v>602.56399999999996</v>
      </c>
      <c r="CO7" s="69">
        <v>552.56399999999996</v>
      </c>
      <c r="CP7" s="69">
        <v>514.10299999999995</v>
      </c>
      <c r="CQ7" s="69">
        <v>475.64100000000002</v>
      </c>
      <c r="CR7" s="69">
        <v>460.25599999999997</v>
      </c>
      <c r="CS7" s="69">
        <v>425.64100000000002</v>
      </c>
      <c r="CT7" s="69">
        <v>398.71800000000002</v>
      </c>
      <c r="CU7" s="69">
        <v>367.94899999999996</v>
      </c>
      <c r="CV7" s="69">
        <v>337.18000000000006</v>
      </c>
      <c r="CW7" s="69">
        <v>406.40999999999997</v>
      </c>
      <c r="CX7" s="69">
        <v>383.33300000000003</v>
      </c>
      <c r="CY7" s="69">
        <v>337.18000000000006</v>
      </c>
      <c r="CZ7" s="69">
        <v>291.02600000000001</v>
      </c>
      <c r="DA7" s="69">
        <v>252.56399999999999</v>
      </c>
      <c r="DB7" s="69">
        <v>241.02599999999998</v>
      </c>
      <c r="DC7" s="69">
        <v>229.48699999999999</v>
      </c>
      <c r="DD7" s="69">
        <v>229.48699999999999</v>
      </c>
      <c r="DE7" s="69">
        <v>221.79500000000002</v>
      </c>
      <c r="DF7" s="69">
        <v>202.56399999999999</v>
      </c>
      <c r="DG7" s="69">
        <v>191.02599999999998</v>
      </c>
      <c r="DH7" s="69">
        <v>191.02599999999998</v>
      </c>
      <c r="DI7" s="69">
        <v>183.33300000000003</v>
      </c>
      <c r="DJ7" s="69">
        <v>183.33300000000003</v>
      </c>
      <c r="DK7" s="69">
        <v>183.33300000000003</v>
      </c>
      <c r="DL7" s="69">
        <v>175.64099999999999</v>
      </c>
      <c r="DM7" s="69">
        <v>160.256</v>
      </c>
      <c r="DN7" s="69">
        <v>137.18</v>
      </c>
      <c r="DO7" s="69">
        <v>148.71800000000002</v>
      </c>
      <c r="DP7" s="69">
        <v>148.71800000000002</v>
      </c>
      <c r="DQ7" s="69">
        <v>148.71800000000002</v>
      </c>
      <c r="DR7" s="69">
        <v>141.02600000000001</v>
      </c>
      <c r="DS7" s="69">
        <v>125.64099999999999</v>
      </c>
      <c r="DT7" s="69">
        <v>110.256</v>
      </c>
      <c r="DU7" s="69">
        <v>98.718000000000004</v>
      </c>
      <c r="DV7" s="69">
        <v>60.256</v>
      </c>
      <c r="DW7" s="69">
        <v>94.872</v>
      </c>
      <c r="DX7" s="69">
        <v>102.56399999999999</v>
      </c>
      <c r="DY7" s="69">
        <v>102.56399999999999</v>
      </c>
      <c r="DZ7" s="69">
        <v>106.41</v>
      </c>
      <c r="EA7" s="69">
        <v>106.41</v>
      </c>
      <c r="EB7" s="69">
        <v>106.41</v>
      </c>
      <c r="EC7" s="69">
        <v>106.41</v>
      </c>
      <c r="ED7" s="69">
        <v>106.41</v>
      </c>
      <c r="EE7" s="69">
        <v>106.41</v>
      </c>
      <c r="EF7" s="69">
        <v>87.18</v>
      </c>
      <c r="EG7" s="69">
        <v>52.564</v>
      </c>
      <c r="EH7" s="69">
        <v>29.487000000000002</v>
      </c>
      <c r="EI7" s="69">
        <v>257.69200000000001</v>
      </c>
      <c r="EJ7" s="69">
        <v>253.846</v>
      </c>
      <c r="EK7" s="69">
        <v>415.38499999999999</v>
      </c>
      <c r="EL7" s="69">
        <v>957.69200000000001</v>
      </c>
      <c r="EM7" s="69">
        <v>950</v>
      </c>
      <c r="EN7" s="69">
        <v>926.923</v>
      </c>
    </row>
    <row r="9" spans="2:144" x14ac:dyDescent="0.2">
      <c r="B9" s="67"/>
      <c r="C9" s="39"/>
    </row>
    <row r="11" spans="2:144" x14ac:dyDescent="0.2">
      <c r="B11" s="67" t="s">
        <v>3</v>
      </c>
      <c r="C11" s="39">
        <v>46023</v>
      </c>
    </row>
    <row r="12" spans="2:144" x14ac:dyDescent="0.2">
      <c r="B12" s="67" t="s">
        <v>4</v>
      </c>
      <c r="C12" s="51"/>
    </row>
    <row r="14" spans="2:144" x14ac:dyDescent="0.2">
      <c r="B14" s="67" t="s">
        <v>5</v>
      </c>
      <c r="C14" s="53"/>
    </row>
    <row r="17" spans="1:7" x14ac:dyDescent="0.2">
      <c r="B17" s="67" t="s">
        <v>23</v>
      </c>
    </row>
    <row r="18" spans="1:7" x14ac:dyDescent="0.2">
      <c r="B18" s="70" t="s">
        <v>7</v>
      </c>
      <c r="C18" s="54"/>
    </row>
    <row r="19" spans="1:7" x14ac:dyDescent="0.2">
      <c r="B19" s="70" t="s">
        <v>8</v>
      </c>
      <c r="C19" s="54"/>
    </row>
    <row r="21" spans="1:7" x14ac:dyDescent="0.2">
      <c r="B21" s="67" t="s">
        <v>24</v>
      </c>
    </row>
    <row r="22" spans="1:7" x14ac:dyDescent="0.2">
      <c r="B22" s="70" t="s">
        <v>7</v>
      </c>
      <c r="C22" s="55"/>
    </row>
    <row r="23" spans="1:7" x14ac:dyDescent="0.2">
      <c r="B23" s="70" t="s">
        <v>8</v>
      </c>
      <c r="C23" s="55"/>
    </row>
    <row r="24" spans="1:7" x14ac:dyDescent="0.2">
      <c r="C24" s="56"/>
    </row>
    <row r="25" spans="1:7" x14ac:dyDescent="0.2">
      <c r="B25" s="67" t="s">
        <v>25</v>
      </c>
    </row>
    <row r="26" spans="1:7" x14ac:dyDescent="0.2">
      <c r="A26" s="56"/>
      <c r="B26" s="70" t="s">
        <v>7</v>
      </c>
      <c r="C26" s="55"/>
      <c r="G26" s="56"/>
    </row>
    <row r="27" spans="1:7" x14ac:dyDescent="0.2">
      <c r="A27" s="56"/>
      <c r="B27" s="70" t="s">
        <v>8</v>
      </c>
      <c r="C27" s="55"/>
      <c r="G27" s="56"/>
    </row>
    <row r="29" spans="1:7" x14ac:dyDescent="0.2">
      <c r="B29" s="67" t="s">
        <v>26</v>
      </c>
    </row>
    <row r="30" spans="1:7" x14ac:dyDescent="0.2">
      <c r="A30" s="56"/>
      <c r="B30" s="71" t="s">
        <v>12</v>
      </c>
      <c r="C30" s="57"/>
      <c r="G30" s="56"/>
    </row>
    <row r="31" spans="1:7" x14ac:dyDescent="0.2">
      <c r="A31" s="56"/>
      <c r="B31" s="70" t="s">
        <v>13</v>
      </c>
      <c r="C31" s="58"/>
      <c r="G31" s="56"/>
    </row>
    <row r="32" spans="1:7" x14ac:dyDescent="0.2">
      <c r="C32" s="59"/>
    </row>
    <row r="33" spans="2:3" x14ac:dyDescent="0.2">
      <c r="B33" s="70" t="s">
        <v>14</v>
      </c>
      <c r="C33" s="55"/>
    </row>
    <row r="34" spans="2:3" x14ac:dyDescent="0.2">
      <c r="B34" s="72" t="s">
        <v>15</v>
      </c>
      <c r="C34" s="60"/>
    </row>
    <row r="36" spans="2:3" x14ac:dyDescent="0.2">
      <c r="B36" s="67" t="s">
        <v>27</v>
      </c>
    </row>
    <row r="37" spans="2:3" x14ac:dyDescent="0.2">
      <c r="B37" s="70" t="s">
        <v>17</v>
      </c>
      <c r="C37" s="58"/>
    </row>
    <row r="38" spans="2:3" x14ac:dyDescent="0.2">
      <c r="B38" s="70" t="s">
        <v>18</v>
      </c>
      <c r="C38" s="58"/>
    </row>
    <row r="39" spans="2:3" x14ac:dyDescent="0.2">
      <c r="C39" s="59"/>
    </row>
    <row r="40" spans="2:3" x14ac:dyDescent="0.2">
      <c r="B40" s="70" t="s">
        <v>19</v>
      </c>
      <c r="C40" s="55"/>
    </row>
    <row r="41" spans="2:3" x14ac:dyDescent="0.2">
      <c r="B41" s="70" t="s">
        <v>20</v>
      </c>
      <c r="C41" s="5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79902-10E5-4C67-B707-611F134FC7BA}">
  <sheetPr>
    <tabColor theme="7"/>
  </sheetPr>
  <dimension ref="A1"/>
  <sheetViews>
    <sheetView workbookViewId="0">
      <selection activeCell="J59" sqref="J59"/>
    </sheetView>
  </sheetViews>
  <sheetFormatPr baseColWidth="10" defaultColWidth="9.33203125" defaultRowHeight="12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BF623-5F51-4275-85CD-74F19AFCD54B}">
  <sheetPr>
    <tabColor theme="7" tint="0.79998168889431442"/>
  </sheetPr>
  <dimension ref="A2:BSB51"/>
  <sheetViews>
    <sheetView showGridLines="0" zoomScaleNormal="100" workbookViewId="0">
      <selection activeCell="R50" sqref="R50"/>
    </sheetView>
  </sheetViews>
  <sheetFormatPr baseColWidth="10" defaultColWidth="11.1640625" defaultRowHeight="12" x14ac:dyDescent="0.2"/>
  <cols>
    <col min="2" max="2" width="43.83203125" customWidth="1"/>
    <col min="3" max="3" width="16.6640625" bestFit="1" customWidth="1"/>
  </cols>
  <sheetData>
    <row r="2" spans="2:1848" ht="18.75" x14ac:dyDescent="0.3">
      <c r="B2" s="1" t="s">
        <v>21</v>
      </c>
    </row>
    <row r="3" spans="2:1848" x14ac:dyDescent="0.2">
      <c r="B3" t="s">
        <v>22</v>
      </c>
      <c r="G3" s="34" t="str">
        <f ca="1">_xlfn.FORMULATEXT(C5)</f>
        <v>=SEQUENCE(1;NombreJours;DateDebut;1)</v>
      </c>
    </row>
    <row r="5" spans="2:1848" s="2" customFormat="1" x14ac:dyDescent="0.2">
      <c r="B5" s="3" t="s">
        <v>28</v>
      </c>
      <c r="C5" s="49" cm="1">
        <f t="array" ref="C5:EN5">_xlfn.SEQUENCE(1,NombreJours,DateDebut,1)</f>
        <v>46023</v>
      </c>
      <c r="D5" s="49">
        <v>46024</v>
      </c>
      <c r="E5" s="49">
        <v>46025</v>
      </c>
      <c r="F5" s="49">
        <v>46026</v>
      </c>
      <c r="G5" s="49">
        <v>46027</v>
      </c>
      <c r="H5" s="49">
        <v>46028</v>
      </c>
      <c r="I5" s="49">
        <v>46029</v>
      </c>
      <c r="J5" s="49">
        <v>46030</v>
      </c>
      <c r="K5" s="49">
        <v>46031</v>
      </c>
      <c r="L5" s="49">
        <v>46032</v>
      </c>
      <c r="M5" s="49">
        <v>46033</v>
      </c>
      <c r="N5" s="49">
        <v>46034</v>
      </c>
      <c r="O5" s="49">
        <v>46035</v>
      </c>
      <c r="P5" s="49">
        <v>46036</v>
      </c>
      <c r="Q5" s="49">
        <v>46037</v>
      </c>
      <c r="R5" s="49">
        <v>46038</v>
      </c>
      <c r="S5" s="49">
        <v>46039</v>
      </c>
      <c r="T5" s="49">
        <v>46040</v>
      </c>
      <c r="U5" s="49">
        <v>46041</v>
      </c>
      <c r="V5" s="49">
        <v>46042</v>
      </c>
      <c r="W5" s="49">
        <v>46043</v>
      </c>
      <c r="X5" s="49">
        <v>46044</v>
      </c>
      <c r="Y5" s="49">
        <v>46045</v>
      </c>
      <c r="Z5" s="49">
        <v>46046</v>
      </c>
      <c r="AA5" s="49">
        <v>46047</v>
      </c>
      <c r="AB5" s="49">
        <v>46048</v>
      </c>
      <c r="AC5" s="49">
        <v>46049</v>
      </c>
      <c r="AD5" s="49">
        <v>46050</v>
      </c>
      <c r="AE5" s="49">
        <v>46051</v>
      </c>
      <c r="AF5" s="49">
        <v>46052</v>
      </c>
      <c r="AG5" s="49">
        <v>46053</v>
      </c>
      <c r="AH5" s="49">
        <v>46054</v>
      </c>
      <c r="AI5" s="49">
        <v>46055</v>
      </c>
      <c r="AJ5" s="49">
        <v>46056</v>
      </c>
      <c r="AK5" s="49">
        <v>46057</v>
      </c>
      <c r="AL5" s="49">
        <v>46058</v>
      </c>
      <c r="AM5" s="49">
        <v>46059</v>
      </c>
      <c r="AN5" s="49">
        <v>46060</v>
      </c>
      <c r="AO5" s="49">
        <v>46061</v>
      </c>
      <c r="AP5" s="49">
        <v>46062</v>
      </c>
      <c r="AQ5" s="49">
        <v>46063</v>
      </c>
      <c r="AR5" s="49">
        <v>46064</v>
      </c>
      <c r="AS5" s="49">
        <v>46065</v>
      </c>
      <c r="AT5" s="49">
        <v>46066</v>
      </c>
      <c r="AU5" s="49">
        <v>46067</v>
      </c>
      <c r="AV5" s="49">
        <v>46068</v>
      </c>
      <c r="AW5" s="49">
        <v>46069</v>
      </c>
      <c r="AX5" s="49">
        <v>46070</v>
      </c>
      <c r="AY5" s="49">
        <v>46071</v>
      </c>
      <c r="AZ5" s="49">
        <v>46072</v>
      </c>
      <c r="BA5" s="49">
        <v>46073</v>
      </c>
      <c r="BB5" s="49">
        <v>46074</v>
      </c>
      <c r="BC5" s="49">
        <v>46075</v>
      </c>
      <c r="BD5" s="49">
        <v>46076</v>
      </c>
      <c r="BE5" s="49">
        <v>46077</v>
      </c>
      <c r="BF5" s="49">
        <v>46078</v>
      </c>
      <c r="BG5" s="49">
        <v>46079</v>
      </c>
      <c r="BH5" s="49">
        <v>46080</v>
      </c>
      <c r="BI5" s="49">
        <v>46081</v>
      </c>
      <c r="BJ5" s="49">
        <v>46082</v>
      </c>
      <c r="BK5" s="49">
        <v>46083</v>
      </c>
      <c r="BL5" s="49">
        <v>46084</v>
      </c>
      <c r="BM5" s="49">
        <v>46085</v>
      </c>
      <c r="BN5" s="49">
        <v>46086</v>
      </c>
      <c r="BO5" s="49">
        <v>46087</v>
      </c>
      <c r="BP5" s="49">
        <v>46088</v>
      </c>
      <c r="BQ5" s="49">
        <v>46089</v>
      </c>
      <c r="BR5" s="49">
        <v>46090</v>
      </c>
      <c r="BS5" s="49">
        <v>46091</v>
      </c>
      <c r="BT5" s="49">
        <v>46092</v>
      </c>
      <c r="BU5" s="49">
        <v>46093</v>
      </c>
      <c r="BV5" s="49">
        <v>46094</v>
      </c>
      <c r="BW5" s="49">
        <v>46095</v>
      </c>
      <c r="BX5" s="49">
        <v>46096</v>
      </c>
      <c r="BY5" s="49">
        <v>46097</v>
      </c>
      <c r="BZ5" s="49">
        <v>46098</v>
      </c>
      <c r="CA5" s="49">
        <v>46099</v>
      </c>
      <c r="CB5" s="49">
        <v>46100</v>
      </c>
      <c r="CC5" s="49">
        <v>46101</v>
      </c>
      <c r="CD5" s="49">
        <v>46102</v>
      </c>
      <c r="CE5" s="49">
        <v>46103</v>
      </c>
      <c r="CF5" s="49">
        <v>46104</v>
      </c>
      <c r="CG5" s="49">
        <v>46105</v>
      </c>
      <c r="CH5" s="49">
        <v>46106</v>
      </c>
      <c r="CI5" s="49">
        <v>46107</v>
      </c>
      <c r="CJ5" s="49">
        <v>46108</v>
      </c>
      <c r="CK5" s="49">
        <v>46109</v>
      </c>
      <c r="CL5" s="49">
        <v>46110</v>
      </c>
      <c r="CM5" s="49">
        <v>46111</v>
      </c>
      <c r="CN5" s="49">
        <v>46112</v>
      </c>
      <c r="CO5" s="49">
        <v>46113</v>
      </c>
      <c r="CP5" s="49">
        <v>46114</v>
      </c>
      <c r="CQ5" s="49">
        <v>46115</v>
      </c>
      <c r="CR5" s="49">
        <v>46116</v>
      </c>
      <c r="CS5" s="49">
        <v>46117</v>
      </c>
      <c r="CT5" s="49">
        <v>46118</v>
      </c>
      <c r="CU5" s="49">
        <v>46119</v>
      </c>
      <c r="CV5" s="49">
        <v>46120</v>
      </c>
      <c r="CW5" s="49">
        <v>46121</v>
      </c>
      <c r="CX5" s="49">
        <v>46122</v>
      </c>
      <c r="CY5" s="49">
        <v>46123</v>
      </c>
      <c r="CZ5" s="49">
        <v>46124</v>
      </c>
      <c r="DA5" s="49">
        <v>46125</v>
      </c>
      <c r="DB5" s="49">
        <v>46126</v>
      </c>
      <c r="DC5" s="49">
        <v>46127</v>
      </c>
      <c r="DD5" s="49">
        <v>46128</v>
      </c>
      <c r="DE5" s="49">
        <v>46129</v>
      </c>
      <c r="DF5" s="49">
        <v>46130</v>
      </c>
      <c r="DG5" s="49">
        <v>46131</v>
      </c>
      <c r="DH5" s="49">
        <v>46132</v>
      </c>
      <c r="DI5" s="49">
        <v>46133</v>
      </c>
      <c r="DJ5" s="49">
        <v>46134</v>
      </c>
      <c r="DK5" s="49">
        <v>46135</v>
      </c>
      <c r="DL5" s="49">
        <v>46136</v>
      </c>
      <c r="DM5" s="49">
        <v>46137</v>
      </c>
      <c r="DN5" s="49">
        <v>46138</v>
      </c>
      <c r="DO5" s="49">
        <v>46139</v>
      </c>
      <c r="DP5" s="49">
        <v>46140</v>
      </c>
      <c r="DQ5" s="49">
        <v>46141</v>
      </c>
      <c r="DR5" s="49">
        <v>46142</v>
      </c>
      <c r="DS5" s="49">
        <v>46143</v>
      </c>
      <c r="DT5" s="49">
        <v>46144</v>
      </c>
      <c r="DU5" s="49">
        <v>46145</v>
      </c>
      <c r="DV5" s="49">
        <v>46146</v>
      </c>
      <c r="DW5" s="49">
        <v>46147</v>
      </c>
      <c r="DX5" s="49">
        <v>46148</v>
      </c>
      <c r="DY5" s="49">
        <v>46149</v>
      </c>
      <c r="DZ5" s="49">
        <v>46150</v>
      </c>
      <c r="EA5" s="49">
        <v>46151</v>
      </c>
      <c r="EB5" s="49">
        <v>46152</v>
      </c>
      <c r="EC5" s="49">
        <v>46153</v>
      </c>
      <c r="ED5" s="49">
        <v>46154</v>
      </c>
      <c r="EE5" s="49">
        <v>46155</v>
      </c>
      <c r="EF5" s="49">
        <v>46156</v>
      </c>
      <c r="EG5" s="49">
        <v>46157</v>
      </c>
      <c r="EH5" s="49">
        <v>46158</v>
      </c>
      <c r="EI5" s="49">
        <v>46159</v>
      </c>
      <c r="EJ5" s="49">
        <v>46160</v>
      </c>
      <c r="EK5" s="49">
        <v>46161</v>
      </c>
      <c r="EL5" s="49">
        <v>46162</v>
      </c>
      <c r="EM5" s="49">
        <v>46163</v>
      </c>
      <c r="EN5" s="49">
        <v>46164</v>
      </c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5"/>
      <c r="JS5" s="35"/>
      <c r="JT5" s="35"/>
      <c r="JU5" s="35"/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5"/>
      <c r="KR5" s="35"/>
      <c r="KS5" s="35"/>
      <c r="KT5" s="35"/>
      <c r="KU5" s="35"/>
      <c r="KV5" s="35"/>
      <c r="KW5" s="35"/>
      <c r="KX5" s="35"/>
      <c r="KY5" s="35"/>
      <c r="KZ5" s="35"/>
      <c r="LA5" s="35"/>
      <c r="LB5" s="35"/>
      <c r="LC5" s="35"/>
      <c r="LD5" s="35"/>
      <c r="LE5" s="35"/>
      <c r="LF5" s="35"/>
      <c r="LG5" s="35"/>
      <c r="LH5" s="35"/>
      <c r="LI5" s="35"/>
      <c r="LJ5" s="35"/>
      <c r="LK5" s="35"/>
      <c r="LL5" s="35"/>
      <c r="LM5" s="35"/>
      <c r="LN5" s="35"/>
      <c r="LO5" s="35"/>
      <c r="LP5" s="35"/>
      <c r="LQ5" s="35"/>
      <c r="LR5" s="35"/>
      <c r="LS5" s="35"/>
      <c r="LT5" s="35"/>
      <c r="LU5" s="35"/>
      <c r="LV5" s="35"/>
      <c r="LW5" s="35"/>
      <c r="LX5" s="35"/>
      <c r="LY5" s="35"/>
      <c r="LZ5" s="35"/>
      <c r="MA5" s="35"/>
      <c r="MB5" s="35"/>
      <c r="MC5" s="35"/>
      <c r="MD5" s="35"/>
      <c r="ME5" s="35"/>
      <c r="MF5" s="35"/>
      <c r="MG5" s="35"/>
      <c r="MH5" s="35"/>
      <c r="MI5" s="35"/>
      <c r="MJ5" s="35"/>
      <c r="MK5" s="35"/>
      <c r="ML5" s="35"/>
      <c r="MM5" s="35"/>
      <c r="MN5" s="35"/>
      <c r="MO5" s="35"/>
      <c r="MP5" s="35"/>
      <c r="MQ5" s="35"/>
      <c r="MR5" s="35"/>
      <c r="MS5" s="35"/>
      <c r="MT5" s="35"/>
      <c r="MU5" s="35"/>
      <c r="MV5" s="35"/>
      <c r="MW5" s="35"/>
      <c r="MX5" s="35"/>
      <c r="MY5" s="35"/>
      <c r="MZ5" s="35"/>
      <c r="NA5" s="35"/>
      <c r="NB5" s="35"/>
      <c r="NC5" s="35"/>
      <c r="ND5" s="35"/>
      <c r="NE5" s="35"/>
      <c r="NF5" s="35"/>
      <c r="NG5" s="35"/>
      <c r="NH5" s="35"/>
      <c r="NI5" s="35"/>
      <c r="NJ5" s="35"/>
      <c r="NK5" s="35"/>
      <c r="NL5" s="35"/>
      <c r="NM5" s="35"/>
      <c r="NN5" s="35"/>
      <c r="NO5" s="35"/>
      <c r="NP5" s="35"/>
      <c r="NQ5" s="35"/>
      <c r="NR5" s="35"/>
      <c r="NS5" s="35"/>
      <c r="NT5" s="35"/>
      <c r="NU5" s="35"/>
      <c r="NV5" s="35"/>
      <c r="NW5" s="35"/>
      <c r="NX5" s="35"/>
      <c r="NY5" s="35"/>
      <c r="NZ5" s="35"/>
      <c r="OA5" s="35"/>
      <c r="OB5" s="35"/>
      <c r="OC5" s="35"/>
      <c r="OD5" s="35"/>
      <c r="OE5" s="35"/>
      <c r="OF5" s="35"/>
      <c r="OG5" s="35"/>
      <c r="OH5" s="35"/>
      <c r="OI5" s="35"/>
      <c r="OJ5" s="35"/>
      <c r="OK5" s="35"/>
      <c r="OL5" s="35"/>
      <c r="OM5" s="35"/>
      <c r="ON5" s="35"/>
      <c r="OO5" s="35"/>
      <c r="OP5" s="35"/>
      <c r="OQ5" s="35"/>
      <c r="OR5" s="35"/>
      <c r="OS5" s="35"/>
      <c r="OT5" s="35"/>
      <c r="OU5" s="35"/>
      <c r="OV5" s="35"/>
      <c r="OW5" s="35"/>
      <c r="OX5" s="35"/>
      <c r="OY5" s="35"/>
      <c r="OZ5" s="35"/>
      <c r="PA5" s="35"/>
      <c r="PB5" s="35"/>
      <c r="PC5" s="35"/>
      <c r="PD5" s="35"/>
      <c r="PE5" s="35"/>
      <c r="PF5" s="35"/>
      <c r="PG5" s="35"/>
      <c r="PH5" s="35"/>
      <c r="PI5" s="35"/>
      <c r="PJ5" s="35"/>
      <c r="PK5" s="35"/>
      <c r="PL5" s="35"/>
      <c r="PM5" s="35"/>
      <c r="PN5" s="35"/>
      <c r="PO5" s="35"/>
      <c r="PP5" s="35"/>
      <c r="PQ5" s="35"/>
      <c r="PR5" s="35"/>
      <c r="PS5" s="35"/>
      <c r="PT5" s="35"/>
      <c r="PU5" s="35"/>
      <c r="PV5" s="35"/>
      <c r="PW5" s="35"/>
      <c r="PX5" s="35"/>
      <c r="PY5" s="35"/>
      <c r="PZ5" s="35"/>
      <c r="QA5" s="35"/>
      <c r="QB5" s="35"/>
      <c r="QC5" s="35"/>
      <c r="QD5" s="35"/>
      <c r="QE5" s="35"/>
      <c r="QF5" s="35"/>
      <c r="QG5" s="35"/>
      <c r="QH5" s="35"/>
      <c r="QI5" s="35"/>
      <c r="QJ5" s="35"/>
      <c r="QK5" s="35"/>
      <c r="QL5" s="35"/>
      <c r="QM5" s="35"/>
      <c r="QN5" s="35"/>
      <c r="QO5" s="35"/>
      <c r="QP5" s="35"/>
      <c r="QQ5" s="35"/>
      <c r="QR5" s="35"/>
      <c r="QS5" s="35"/>
      <c r="QT5" s="35"/>
      <c r="QU5" s="35"/>
      <c r="QV5" s="35"/>
      <c r="QW5" s="35"/>
      <c r="QX5" s="35"/>
      <c r="QY5" s="35"/>
      <c r="QZ5" s="35"/>
      <c r="RA5" s="35"/>
      <c r="RB5" s="35"/>
      <c r="RC5" s="35"/>
      <c r="RD5" s="35"/>
      <c r="RE5" s="35"/>
      <c r="RF5" s="35"/>
      <c r="RG5" s="35"/>
      <c r="RH5" s="35"/>
      <c r="RI5" s="35"/>
      <c r="RJ5" s="35"/>
      <c r="RK5" s="35"/>
      <c r="RL5" s="35"/>
      <c r="RM5" s="35"/>
      <c r="RN5" s="35"/>
      <c r="RO5" s="35"/>
      <c r="RP5" s="35"/>
      <c r="RQ5" s="35"/>
      <c r="RR5" s="35"/>
      <c r="RS5" s="35"/>
      <c r="RT5" s="35"/>
      <c r="RU5" s="35"/>
      <c r="RV5" s="35"/>
      <c r="RW5" s="35"/>
      <c r="RX5" s="35"/>
      <c r="RY5" s="35"/>
      <c r="RZ5" s="35"/>
      <c r="SA5" s="35"/>
      <c r="SB5" s="35"/>
      <c r="SC5" s="35"/>
      <c r="SD5" s="35"/>
      <c r="SE5" s="35"/>
      <c r="SF5" s="35"/>
      <c r="SG5" s="35"/>
      <c r="SH5" s="35"/>
      <c r="SI5" s="35"/>
      <c r="SJ5" s="35"/>
      <c r="SK5" s="35"/>
      <c r="SL5" s="35"/>
      <c r="SM5" s="35"/>
      <c r="SN5" s="35"/>
      <c r="SO5" s="35"/>
      <c r="SP5" s="35"/>
      <c r="SQ5" s="35"/>
      <c r="SR5" s="35"/>
      <c r="SS5" s="35"/>
      <c r="ST5" s="35"/>
      <c r="SU5" s="35"/>
      <c r="SV5" s="35"/>
      <c r="SW5" s="35"/>
      <c r="SX5" s="35"/>
      <c r="SY5" s="35"/>
      <c r="SZ5" s="35"/>
      <c r="TA5" s="35"/>
      <c r="TB5" s="35"/>
      <c r="TC5" s="35"/>
      <c r="TD5" s="35"/>
      <c r="TE5" s="35"/>
      <c r="TF5" s="35"/>
      <c r="TG5" s="35"/>
      <c r="TH5" s="35"/>
      <c r="TI5" s="35"/>
      <c r="TJ5" s="35"/>
      <c r="TK5" s="35"/>
      <c r="TL5" s="35"/>
      <c r="TM5" s="35"/>
      <c r="TN5" s="35"/>
      <c r="TO5" s="35"/>
      <c r="TP5" s="35"/>
      <c r="TQ5" s="35"/>
      <c r="TR5" s="35"/>
      <c r="TS5" s="35"/>
      <c r="TT5" s="35"/>
      <c r="TU5" s="35"/>
      <c r="TV5" s="35"/>
      <c r="TW5" s="35"/>
      <c r="TX5" s="35"/>
      <c r="TY5" s="35"/>
      <c r="TZ5" s="35"/>
      <c r="UA5" s="35"/>
      <c r="UB5" s="35"/>
      <c r="UC5" s="35"/>
      <c r="UD5" s="35"/>
      <c r="UE5" s="35"/>
      <c r="UF5" s="35"/>
      <c r="UG5" s="35"/>
      <c r="UH5" s="35"/>
      <c r="UI5" s="35"/>
      <c r="UJ5" s="35"/>
      <c r="UK5" s="35"/>
      <c r="UL5" s="35"/>
      <c r="UM5" s="35"/>
      <c r="UN5" s="35"/>
      <c r="UO5" s="35"/>
      <c r="UP5" s="35"/>
      <c r="UQ5" s="35"/>
      <c r="UR5" s="35"/>
      <c r="US5" s="35"/>
      <c r="UT5" s="35"/>
      <c r="UU5" s="35"/>
      <c r="UV5" s="35"/>
      <c r="UW5" s="35"/>
      <c r="UX5" s="35"/>
      <c r="UY5" s="35"/>
      <c r="UZ5" s="35"/>
      <c r="VA5" s="35"/>
      <c r="VB5" s="35"/>
      <c r="VC5" s="35"/>
      <c r="VD5" s="35"/>
      <c r="VE5" s="35"/>
      <c r="VF5" s="35"/>
      <c r="VG5" s="35"/>
      <c r="VH5" s="35"/>
      <c r="VI5" s="35"/>
      <c r="VJ5" s="35"/>
      <c r="VK5" s="35"/>
      <c r="VL5" s="35"/>
      <c r="VM5" s="35"/>
      <c r="VN5" s="35"/>
      <c r="VO5" s="35"/>
      <c r="VP5" s="35"/>
      <c r="VQ5" s="35"/>
      <c r="VR5" s="35"/>
      <c r="VS5" s="35"/>
      <c r="VT5" s="35"/>
      <c r="VU5" s="35"/>
      <c r="VV5" s="35"/>
      <c r="VW5" s="35"/>
      <c r="VX5" s="35"/>
      <c r="VY5" s="35"/>
      <c r="VZ5" s="35"/>
      <c r="WA5" s="35"/>
      <c r="WB5" s="35"/>
      <c r="WC5" s="35"/>
      <c r="WD5" s="35"/>
      <c r="WE5" s="35"/>
      <c r="WF5" s="35"/>
      <c r="WG5" s="35"/>
      <c r="WH5" s="35"/>
      <c r="WI5" s="35"/>
      <c r="WJ5" s="35"/>
      <c r="WK5" s="35"/>
      <c r="WL5" s="35"/>
      <c r="WM5" s="35"/>
      <c r="WN5" s="35"/>
      <c r="WO5" s="35"/>
      <c r="WP5" s="35"/>
      <c r="WQ5" s="35"/>
      <c r="WR5" s="35"/>
      <c r="WS5" s="35"/>
      <c r="WT5" s="35"/>
      <c r="WU5" s="35"/>
      <c r="WV5" s="35"/>
      <c r="WW5" s="35"/>
      <c r="WX5" s="35"/>
      <c r="WY5" s="35"/>
      <c r="WZ5" s="35"/>
      <c r="XA5" s="35"/>
      <c r="XB5" s="35"/>
      <c r="XC5" s="35"/>
      <c r="XD5" s="35"/>
      <c r="XE5" s="35"/>
      <c r="XF5" s="35"/>
      <c r="XG5" s="35"/>
      <c r="XH5" s="35"/>
      <c r="XI5" s="35"/>
      <c r="XJ5" s="35"/>
      <c r="XK5" s="35"/>
      <c r="XL5" s="35"/>
      <c r="XM5" s="35"/>
      <c r="XN5" s="35"/>
      <c r="XO5" s="35"/>
      <c r="XP5" s="35"/>
      <c r="XQ5" s="35"/>
      <c r="XR5" s="35"/>
      <c r="XS5" s="35"/>
      <c r="XT5" s="35"/>
      <c r="XU5" s="35"/>
      <c r="XV5" s="35"/>
      <c r="XW5" s="35"/>
      <c r="XX5" s="35"/>
      <c r="XY5" s="35"/>
      <c r="XZ5" s="35"/>
      <c r="YA5" s="35"/>
      <c r="YB5" s="35"/>
      <c r="YC5" s="35"/>
      <c r="YD5" s="35"/>
      <c r="YE5" s="35"/>
      <c r="YF5" s="35"/>
      <c r="YG5" s="35"/>
      <c r="YH5" s="35"/>
      <c r="YI5" s="35"/>
      <c r="YJ5" s="35"/>
      <c r="YK5" s="35"/>
      <c r="YL5" s="35"/>
      <c r="YM5" s="35"/>
      <c r="YN5" s="35"/>
      <c r="YO5" s="35"/>
      <c r="YP5" s="35"/>
      <c r="YQ5" s="35"/>
      <c r="YR5" s="35"/>
      <c r="YS5" s="35"/>
      <c r="YT5" s="35"/>
      <c r="YU5" s="35"/>
      <c r="YV5" s="35"/>
      <c r="YW5" s="35"/>
      <c r="YX5" s="35"/>
      <c r="YY5" s="35"/>
      <c r="YZ5" s="35"/>
      <c r="ZA5" s="35"/>
      <c r="ZB5" s="35"/>
      <c r="ZC5" s="35"/>
      <c r="ZD5" s="35"/>
      <c r="ZE5" s="35"/>
      <c r="ZF5" s="35"/>
      <c r="ZG5" s="35"/>
      <c r="ZH5" s="35"/>
      <c r="ZI5" s="35"/>
      <c r="ZJ5" s="35"/>
      <c r="ZK5" s="35"/>
      <c r="ZL5" s="35"/>
      <c r="ZM5" s="35"/>
      <c r="ZN5" s="35"/>
      <c r="ZO5" s="35"/>
      <c r="ZP5" s="35"/>
      <c r="ZQ5" s="35"/>
      <c r="ZR5" s="35"/>
      <c r="ZS5" s="35"/>
      <c r="ZT5" s="35"/>
      <c r="ZU5" s="35"/>
      <c r="ZV5" s="35"/>
      <c r="ZW5" s="35"/>
      <c r="ZX5" s="35"/>
      <c r="ZY5" s="35"/>
      <c r="ZZ5" s="35"/>
      <c r="AAA5" s="35"/>
      <c r="AAB5" s="35"/>
      <c r="AAC5" s="35"/>
      <c r="AAD5" s="35"/>
      <c r="AAE5" s="35"/>
      <c r="AAF5" s="35"/>
      <c r="AAG5" s="35"/>
      <c r="AAH5" s="35"/>
      <c r="AAI5" s="35"/>
      <c r="AAJ5" s="35"/>
      <c r="AAK5" s="35"/>
      <c r="AAL5" s="35"/>
      <c r="AAM5" s="35"/>
      <c r="AAN5" s="35"/>
      <c r="AAO5" s="35"/>
      <c r="AAP5" s="35"/>
      <c r="AAQ5" s="35"/>
      <c r="AAR5" s="35"/>
      <c r="AAS5" s="35"/>
      <c r="AAT5" s="35"/>
      <c r="AAU5" s="35"/>
      <c r="AAV5" s="35"/>
      <c r="AAW5" s="35"/>
      <c r="AAX5" s="35"/>
      <c r="AAY5" s="35"/>
      <c r="AAZ5" s="35"/>
      <c r="ABA5" s="35"/>
      <c r="ABB5" s="35"/>
      <c r="ABC5" s="35"/>
      <c r="ABD5" s="35"/>
      <c r="ABE5" s="35"/>
      <c r="ABF5" s="35"/>
      <c r="ABG5" s="35"/>
      <c r="ABH5" s="35"/>
      <c r="ABI5" s="35"/>
      <c r="ABJ5" s="35"/>
      <c r="ABK5" s="35"/>
      <c r="ABL5" s="35"/>
      <c r="ABM5" s="35"/>
      <c r="ABN5" s="35"/>
      <c r="ABO5" s="35"/>
      <c r="ABP5" s="35"/>
      <c r="ABQ5" s="35"/>
      <c r="ABR5" s="35"/>
      <c r="ABS5" s="35"/>
      <c r="ABT5" s="35"/>
      <c r="ABU5" s="35"/>
      <c r="ABV5" s="35"/>
      <c r="ABW5" s="35"/>
      <c r="ABX5" s="35"/>
      <c r="ABY5" s="35"/>
      <c r="ABZ5" s="35"/>
      <c r="ACA5" s="35"/>
      <c r="ACB5" s="35"/>
      <c r="ACC5" s="35"/>
      <c r="ACD5" s="35"/>
      <c r="ACE5" s="35"/>
      <c r="ACF5" s="35"/>
      <c r="ACG5" s="35"/>
      <c r="ACH5" s="35"/>
      <c r="ACI5" s="35"/>
      <c r="ACJ5" s="35"/>
      <c r="ACK5" s="35"/>
      <c r="ACL5" s="35"/>
      <c r="ACM5" s="35"/>
      <c r="ACN5" s="35"/>
      <c r="ACO5" s="35"/>
      <c r="ACP5" s="35"/>
      <c r="ACQ5" s="35"/>
      <c r="ACR5" s="35"/>
      <c r="ACS5" s="35"/>
      <c r="ACT5" s="35"/>
      <c r="ACU5" s="35"/>
      <c r="ACV5" s="35"/>
      <c r="ACW5" s="35"/>
      <c r="ACX5" s="35"/>
      <c r="ACY5" s="35"/>
      <c r="ACZ5" s="35"/>
      <c r="ADA5" s="35"/>
      <c r="ADB5" s="35"/>
      <c r="ADC5" s="35"/>
      <c r="ADD5" s="35"/>
      <c r="ADE5" s="35"/>
      <c r="ADF5" s="35"/>
      <c r="ADG5" s="35"/>
      <c r="ADH5" s="35"/>
      <c r="ADI5" s="35"/>
      <c r="ADJ5" s="35"/>
      <c r="ADK5" s="35"/>
      <c r="ADL5" s="35"/>
      <c r="ADM5" s="35"/>
      <c r="ADN5" s="35"/>
      <c r="ADO5" s="35"/>
      <c r="ADP5" s="35"/>
      <c r="ADQ5" s="35"/>
      <c r="ADR5" s="35"/>
      <c r="ADS5" s="35"/>
      <c r="ADT5" s="35"/>
      <c r="ADU5" s="35"/>
      <c r="ADV5" s="35"/>
      <c r="ADW5" s="35"/>
      <c r="ADX5" s="35"/>
      <c r="ADY5" s="35"/>
      <c r="ADZ5" s="35"/>
      <c r="AEA5" s="35"/>
      <c r="AEB5" s="35"/>
      <c r="AEC5" s="35"/>
      <c r="AED5" s="35"/>
      <c r="AEE5" s="35"/>
      <c r="AEF5" s="35"/>
      <c r="AEG5" s="35"/>
      <c r="AEH5" s="35"/>
      <c r="AEI5" s="35"/>
      <c r="AEJ5" s="35"/>
      <c r="AEK5" s="35"/>
      <c r="AEL5" s="35"/>
      <c r="AEM5" s="35"/>
      <c r="AEN5" s="35"/>
      <c r="AEO5" s="35"/>
      <c r="AEP5" s="35"/>
      <c r="AEQ5" s="35"/>
      <c r="AER5" s="35"/>
      <c r="AES5" s="35"/>
      <c r="AET5" s="35"/>
      <c r="AEU5" s="35"/>
      <c r="AEV5" s="35"/>
      <c r="AEW5" s="35"/>
      <c r="AEX5" s="35"/>
      <c r="AEY5" s="35"/>
      <c r="AEZ5" s="35"/>
      <c r="AFA5" s="35"/>
      <c r="AFB5" s="35"/>
      <c r="AFC5" s="35"/>
      <c r="AFD5" s="35"/>
      <c r="AFE5" s="35"/>
      <c r="AFF5" s="35"/>
      <c r="AFG5" s="35"/>
      <c r="AFH5" s="35"/>
      <c r="AFI5" s="35"/>
      <c r="AFJ5" s="35"/>
      <c r="AFK5" s="35"/>
      <c r="AFL5" s="35"/>
      <c r="AFM5" s="35"/>
      <c r="AFN5" s="35"/>
      <c r="AFO5" s="35"/>
      <c r="AFP5" s="35"/>
      <c r="AFQ5" s="35"/>
      <c r="AFR5" s="35"/>
      <c r="AFS5" s="35"/>
      <c r="AFT5" s="35"/>
      <c r="AFU5" s="35"/>
      <c r="AFV5" s="35"/>
      <c r="AFW5" s="35"/>
      <c r="AFX5" s="35"/>
      <c r="AFY5" s="35"/>
      <c r="AFZ5" s="35"/>
      <c r="AGA5" s="35"/>
      <c r="AGB5" s="35"/>
      <c r="AGC5" s="35"/>
      <c r="AGD5" s="35"/>
      <c r="AGE5" s="35"/>
      <c r="AGF5" s="35"/>
      <c r="AGG5" s="35"/>
      <c r="AGH5" s="35"/>
      <c r="AGI5" s="35"/>
      <c r="AGJ5" s="35"/>
      <c r="AGK5" s="35"/>
      <c r="AGL5" s="35"/>
      <c r="AGM5" s="35"/>
      <c r="AGN5" s="35"/>
      <c r="AGO5" s="35"/>
      <c r="AGP5" s="35"/>
      <c r="AGQ5" s="35"/>
      <c r="AGR5" s="35"/>
      <c r="AGS5" s="35"/>
      <c r="AGT5" s="35"/>
      <c r="AGU5" s="35"/>
      <c r="AGV5" s="35"/>
      <c r="AGW5" s="35"/>
      <c r="AGX5" s="35"/>
      <c r="AGY5" s="35"/>
      <c r="AGZ5" s="35"/>
      <c r="AHA5" s="35"/>
      <c r="AHB5" s="35"/>
      <c r="AHC5" s="35"/>
      <c r="AHD5" s="35"/>
      <c r="AHE5" s="35"/>
      <c r="AHF5" s="35"/>
      <c r="AHG5" s="35"/>
      <c r="AHH5" s="35"/>
      <c r="AHI5" s="35"/>
      <c r="AHJ5" s="35"/>
      <c r="AHK5" s="35"/>
      <c r="AHL5" s="35"/>
      <c r="AHM5" s="35"/>
      <c r="AHN5" s="35"/>
      <c r="AHO5" s="35"/>
      <c r="AHP5" s="35"/>
      <c r="AHQ5" s="35"/>
      <c r="AHR5" s="35"/>
      <c r="AHS5" s="35"/>
      <c r="AHT5" s="35"/>
      <c r="AHU5" s="35"/>
      <c r="AHV5" s="35"/>
      <c r="AHW5" s="35"/>
      <c r="AHX5" s="35"/>
      <c r="AHY5" s="35"/>
      <c r="AHZ5" s="35"/>
      <c r="AIA5" s="35"/>
      <c r="AIB5" s="35"/>
      <c r="AIC5" s="35"/>
      <c r="AID5" s="35"/>
      <c r="AIE5" s="35"/>
      <c r="AIF5" s="35"/>
      <c r="AIG5" s="35"/>
      <c r="AIH5" s="35"/>
      <c r="AII5" s="35"/>
      <c r="AIJ5" s="35"/>
      <c r="AIK5" s="35"/>
      <c r="AIL5" s="35"/>
      <c r="AIM5" s="35"/>
      <c r="AIN5" s="35"/>
      <c r="AIO5" s="35"/>
      <c r="AIP5" s="35"/>
      <c r="AIQ5" s="35"/>
      <c r="AIR5" s="35"/>
      <c r="AIS5" s="35"/>
      <c r="AIT5" s="35"/>
      <c r="AIU5" s="35"/>
      <c r="AIV5" s="35"/>
      <c r="AIW5" s="35"/>
      <c r="AIX5" s="35"/>
      <c r="AIY5" s="35"/>
      <c r="AIZ5" s="35"/>
      <c r="AJA5" s="35"/>
      <c r="AJB5" s="35"/>
      <c r="AJC5" s="35"/>
      <c r="AJD5" s="35"/>
      <c r="AJE5" s="35"/>
      <c r="AJF5" s="35"/>
      <c r="AJG5" s="35"/>
      <c r="AJH5" s="35"/>
      <c r="AJI5" s="35"/>
      <c r="AJJ5" s="35"/>
      <c r="AJK5" s="35"/>
      <c r="AJL5" s="35"/>
      <c r="AJM5" s="35"/>
      <c r="AJN5" s="35"/>
      <c r="AJO5" s="35"/>
      <c r="AJP5" s="35"/>
      <c r="AJQ5" s="35"/>
      <c r="AJR5" s="35"/>
      <c r="AJS5" s="35"/>
      <c r="AJT5" s="35"/>
      <c r="AJU5" s="35"/>
      <c r="AJV5" s="35"/>
      <c r="AJW5" s="35"/>
      <c r="AJX5" s="35"/>
      <c r="AJY5" s="35"/>
      <c r="AJZ5" s="35"/>
      <c r="AKA5" s="35"/>
      <c r="AKB5" s="35"/>
      <c r="AKC5" s="35"/>
      <c r="AKD5" s="35"/>
      <c r="AKE5" s="35"/>
      <c r="AKF5" s="35"/>
      <c r="AKG5" s="35"/>
      <c r="AKH5" s="35"/>
      <c r="AKI5" s="35"/>
      <c r="AKJ5" s="35"/>
      <c r="AKK5" s="35"/>
      <c r="AKL5" s="35"/>
      <c r="AKM5" s="35"/>
      <c r="AKN5" s="35"/>
      <c r="AKO5" s="35"/>
      <c r="AKP5" s="35"/>
      <c r="AKQ5" s="35"/>
      <c r="AKR5" s="35"/>
      <c r="AKS5" s="35"/>
      <c r="AKT5" s="35"/>
      <c r="AKU5" s="35"/>
      <c r="AKV5" s="35"/>
      <c r="AKW5" s="35"/>
      <c r="AKX5" s="35"/>
      <c r="AKY5" s="35"/>
      <c r="AKZ5" s="35"/>
      <c r="ALA5" s="35"/>
      <c r="ALB5" s="35"/>
      <c r="ALC5" s="35"/>
      <c r="ALD5" s="35"/>
      <c r="ALE5" s="35"/>
      <c r="ALF5" s="35"/>
      <c r="ALG5" s="35"/>
      <c r="ALH5" s="35"/>
      <c r="ALI5" s="35"/>
      <c r="ALJ5" s="35"/>
      <c r="ALK5" s="35"/>
      <c r="ALL5" s="35"/>
      <c r="ALM5" s="35"/>
      <c r="ALN5" s="35"/>
      <c r="ALO5" s="35"/>
      <c r="ALP5" s="35"/>
      <c r="ALQ5" s="35"/>
      <c r="ALR5" s="35"/>
      <c r="ALS5" s="35"/>
      <c r="ALT5" s="35"/>
      <c r="ALU5" s="35"/>
      <c r="ALV5" s="35"/>
      <c r="ALW5" s="35"/>
      <c r="ALX5" s="35"/>
      <c r="ALY5" s="35"/>
      <c r="ALZ5" s="35"/>
      <c r="AMA5" s="35"/>
      <c r="AMB5" s="35"/>
      <c r="AMC5" s="35"/>
      <c r="AMD5" s="35"/>
      <c r="AME5" s="35"/>
      <c r="AMF5" s="35"/>
      <c r="AMG5" s="35"/>
      <c r="AMH5" s="35"/>
      <c r="AMI5" s="35"/>
      <c r="AMJ5" s="35"/>
      <c r="AMK5" s="35"/>
      <c r="AML5" s="35"/>
      <c r="AMM5" s="35"/>
      <c r="AMN5" s="35"/>
      <c r="AMO5" s="35"/>
      <c r="AMP5" s="35"/>
      <c r="AMQ5" s="35"/>
      <c r="AMR5" s="35"/>
      <c r="AMS5" s="35"/>
      <c r="AMT5" s="35"/>
      <c r="AMU5" s="35"/>
      <c r="AMV5" s="35"/>
      <c r="AMW5" s="35"/>
      <c r="AMX5" s="35"/>
      <c r="AMY5" s="35"/>
      <c r="AMZ5" s="35"/>
      <c r="ANA5" s="35"/>
      <c r="ANB5" s="35"/>
      <c r="ANC5" s="35"/>
      <c r="AND5" s="35"/>
      <c r="ANE5" s="35"/>
      <c r="ANF5" s="35"/>
      <c r="ANG5" s="35"/>
      <c r="ANH5" s="35"/>
      <c r="ANI5" s="35"/>
      <c r="ANJ5" s="35"/>
      <c r="ANK5" s="35"/>
      <c r="ANL5" s="35"/>
      <c r="ANM5" s="35"/>
      <c r="ANN5" s="35"/>
      <c r="ANO5" s="35"/>
      <c r="ANP5" s="35"/>
      <c r="ANQ5" s="35"/>
      <c r="ANR5" s="35"/>
      <c r="ANS5" s="35"/>
      <c r="ANT5" s="35"/>
      <c r="ANU5" s="35"/>
      <c r="ANV5" s="35"/>
      <c r="ANW5" s="35"/>
      <c r="ANX5" s="35"/>
      <c r="ANY5" s="35"/>
      <c r="ANZ5" s="35"/>
      <c r="AOA5" s="35"/>
      <c r="AOB5" s="35"/>
      <c r="AOC5" s="35"/>
      <c r="AOD5" s="35"/>
      <c r="AOE5" s="35"/>
      <c r="AOF5" s="35"/>
      <c r="AOG5" s="35"/>
      <c r="AOH5" s="35"/>
      <c r="AOI5" s="35"/>
      <c r="AOJ5" s="35"/>
      <c r="AOK5" s="35"/>
      <c r="AOL5" s="35"/>
      <c r="AOM5" s="35"/>
      <c r="AON5" s="35"/>
      <c r="AOO5" s="35"/>
      <c r="AOP5" s="35"/>
      <c r="AOQ5" s="35"/>
      <c r="AOR5" s="35"/>
      <c r="AOS5" s="35"/>
      <c r="AOT5" s="35"/>
      <c r="AOU5" s="35"/>
      <c r="AOV5" s="35"/>
      <c r="AOW5" s="35"/>
      <c r="AOX5" s="35"/>
      <c r="AOY5" s="35"/>
      <c r="AOZ5" s="35"/>
      <c r="APA5" s="35"/>
      <c r="APB5" s="35"/>
      <c r="APC5" s="35"/>
      <c r="APD5" s="35"/>
      <c r="APE5" s="35"/>
      <c r="APF5" s="35"/>
      <c r="APG5" s="35"/>
      <c r="APH5" s="35"/>
      <c r="API5" s="35"/>
      <c r="APJ5" s="35"/>
      <c r="APK5" s="35"/>
      <c r="APL5" s="35"/>
      <c r="APM5" s="35"/>
      <c r="APN5" s="35"/>
      <c r="APO5" s="35"/>
      <c r="APP5" s="35"/>
      <c r="APQ5" s="35"/>
      <c r="APR5" s="35"/>
      <c r="APS5" s="35"/>
      <c r="APT5" s="35"/>
      <c r="APU5" s="35"/>
      <c r="APV5" s="35"/>
      <c r="APW5" s="35"/>
      <c r="APX5" s="35"/>
      <c r="APY5" s="35"/>
      <c r="APZ5" s="35"/>
      <c r="AQA5" s="35"/>
      <c r="AQB5" s="35"/>
      <c r="AQC5" s="35"/>
      <c r="AQD5" s="35"/>
      <c r="AQE5" s="35"/>
      <c r="AQF5" s="35"/>
      <c r="AQG5" s="35"/>
      <c r="AQH5" s="35"/>
      <c r="AQI5" s="35"/>
      <c r="AQJ5" s="35"/>
      <c r="AQK5" s="35"/>
      <c r="AQL5" s="35"/>
      <c r="AQM5" s="35"/>
      <c r="AQN5" s="35"/>
      <c r="AQO5" s="35"/>
      <c r="AQP5" s="35"/>
      <c r="AQQ5" s="35"/>
      <c r="AQR5" s="35"/>
      <c r="AQS5" s="35"/>
      <c r="AQT5" s="35"/>
      <c r="AQU5" s="35"/>
      <c r="AQV5" s="35"/>
      <c r="AQW5" s="35"/>
      <c r="AQX5" s="35"/>
      <c r="AQY5" s="35"/>
      <c r="AQZ5" s="35"/>
      <c r="ARA5" s="35"/>
      <c r="ARB5" s="35"/>
      <c r="ARC5" s="35"/>
      <c r="ARD5" s="35"/>
      <c r="ARE5" s="35"/>
      <c r="ARF5" s="35"/>
      <c r="ARG5" s="35"/>
      <c r="ARH5" s="35"/>
      <c r="ARI5" s="35"/>
      <c r="ARJ5" s="35"/>
      <c r="ARK5" s="35"/>
      <c r="ARL5" s="35"/>
      <c r="ARM5" s="35"/>
      <c r="ARN5" s="35"/>
      <c r="ARO5" s="35"/>
      <c r="ARP5" s="35"/>
      <c r="ARQ5" s="35"/>
      <c r="ARR5" s="35"/>
      <c r="ARS5" s="35"/>
      <c r="ART5" s="35"/>
      <c r="ARU5" s="35"/>
      <c r="ARV5" s="35"/>
      <c r="ARW5" s="35"/>
      <c r="ARX5" s="35"/>
      <c r="ARY5" s="35"/>
      <c r="ARZ5" s="35"/>
      <c r="ASA5" s="35"/>
      <c r="ASB5" s="35"/>
      <c r="ASC5" s="35"/>
      <c r="ASD5" s="35"/>
      <c r="ASE5" s="35"/>
      <c r="ASF5" s="35"/>
      <c r="ASG5" s="35"/>
      <c r="ASH5" s="35"/>
      <c r="ASI5" s="35"/>
      <c r="ASJ5" s="35"/>
      <c r="ASK5" s="35"/>
      <c r="ASL5" s="35"/>
      <c r="ASM5" s="35"/>
      <c r="ASN5" s="35"/>
      <c r="ASO5" s="35"/>
      <c r="ASP5" s="35"/>
      <c r="ASQ5" s="35"/>
      <c r="ASR5" s="35"/>
      <c r="ASS5" s="35"/>
      <c r="AST5" s="35"/>
      <c r="ASU5" s="35"/>
      <c r="ASV5" s="35"/>
      <c r="ASW5" s="35"/>
      <c r="ASX5" s="35"/>
      <c r="ASY5" s="35"/>
      <c r="ASZ5" s="35"/>
      <c r="ATA5" s="35"/>
      <c r="ATB5" s="35"/>
      <c r="ATC5" s="35"/>
      <c r="ATD5" s="35"/>
      <c r="ATE5" s="35"/>
      <c r="ATF5" s="35"/>
      <c r="ATG5" s="35"/>
      <c r="ATH5" s="35"/>
      <c r="ATI5" s="35"/>
      <c r="ATJ5" s="35"/>
      <c r="ATK5" s="35"/>
      <c r="ATL5" s="35"/>
      <c r="ATM5" s="35"/>
      <c r="ATN5" s="35"/>
      <c r="ATO5" s="35"/>
      <c r="ATP5" s="35"/>
      <c r="ATQ5" s="35"/>
      <c r="ATR5" s="35"/>
      <c r="ATS5" s="35"/>
      <c r="ATT5" s="35"/>
      <c r="ATU5" s="35"/>
      <c r="ATV5" s="35"/>
      <c r="ATW5" s="35"/>
      <c r="ATX5" s="35"/>
      <c r="ATY5" s="35"/>
      <c r="ATZ5" s="35"/>
      <c r="AUA5" s="35"/>
      <c r="AUB5" s="35"/>
      <c r="AUC5" s="35"/>
      <c r="AUD5" s="35"/>
      <c r="AUE5" s="35"/>
      <c r="AUF5" s="35"/>
      <c r="AUG5" s="35"/>
      <c r="AUH5" s="35"/>
      <c r="AUI5" s="35"/>
      <c r="AUJ5" s="35"/>
      <c r="AUK5" s="35"/>
      <c r="AUL5" s="35"/>
      <c r="AUM5" s="35"/>
      <c r="AUN5" s="35"/>
      <c r="AUO5" s="35"/>
      <c r="AUP5" s="35"/>
      <c r="AUQ5" s="35"/>
      <c r="AUR5" s="35"/>
      <c r="AUS5" s="35"/>
      <c r="AUT5" s="35"/>
      <c r="AUU5" s="35"/>
      <c r="AUV5" s="35"/>
      <c r="AUW5" s="35"/>
      <c r="AUX5" s="35"/>
      <c r="AUY5" s="35"/>
      <c r="AUZ5" s="35"/>
      <c r="AVA5" s="35"/>
      <c r="AVB5" s="35"/>
      <c r="AVC5" s="35"/>
      <c r="AVD5" s="35"/>
      <c r="AVE5" s="35"/>
      <c r="AVF5" s="35"/>
      <c r="AVG5" s="35"/>
      <c r="AVH5" s="35"/>
      <c r="AVI5" s="35"/>
      <c r="AVJ5" s="35"/>
      <c r="AVK5" s="35"/>
      <c r="AVL5" s="35"/>
      <c r="AVM5" s="35"/>
      <c r="AVN5" s="35"/>
      <c r="AVO5" s="35"/>
      <c r="AVP5" s="35"/>
      <c r="AVQ5" s="35"/>
      <c r="AVR5" s="35"/>
      <c r="AVS5" s="35"/>
      <c r="AVT5" s="35"/>
      <c r="AVU5" s="35"/>
      <c r="AVV5" s="35"/>
      <c r="AVW5" s="35"/>
      <c r="AVX5" s="35"/>
      <c r="AVY5" s="35"/>
      <c r="AVZ5" s="35"/>
      <c r="AWA5" s="35"/>
      <c r="AWB5" s="35"/>
      <c r="AWC5" s="35"/>
      <c r="AWD5" s="35"/>
      <c r="AWE5" s="35"/>
      <c r="AWF5" s="35"/>
      <c r="AWG5" s="35"/>
      <c r="AWH5" s="35"/>
      <c r="AWI5" s="35"/>
      <c r="AWJ5" s="35"/>
      <c r="AWK5" s="35"/>
      <c r="AWL5" s="35"/>
      <c r="AWM5" s="35"/>
      <c r="AWN5" s="35"/>
      <c r="AWO5" s="35"/>
      <c r="AWP5" s="35"/>
      <c r="AWQ5" s="35"/>
      <c r="AWR5" s="35"/>
      <c r="AWS5" s="35"/>
      <c r="AWT5" s="35"/>
      <c r="AWU5" s="35"/>
      <c r="AWV5" s="35"/>
      <c r="AWW5" s="35"/>
      <c r="AWX5" s="35"/>
      <c r="AWY5" s="35"/>
      <c r="AWZ5" s="35"/>
      <c r="AXA5" s="35"/>
      <c r="AXB5" s="35"/>
      <c r="AXC5" s="35"/>
      <c r="AXD5" s="35"/>
      <c r="AXE5" s="35"/>
      <c r="AXF5" s="35"/>
      <c r="AXG5" s="35"/>
      <c r="AXH5" s="35"/>
      <c r="AXI5" s="35"/>
      <c r="AXJ5" s="35"/>
      <c r="AXK5" s="35"/>
      <c r="AXL5" s="35"/>
      <c r="AXM5" s="35"/>
      <c r="AXN5" s="35"/>
      <c r="AXO5" s="35"/>
      <c r="AXP5" s="35"/>
      <c r="AXQ5" s="35"/>
      <c r="AXR5" s="35"/>
      <c r="AXS5" s="35"/>
      <c r="AXT5" s="35"/>
      <c r="AXU5" s="35"/>
      <c r="AXV5" s="35"/>
      <c r="AXW5" s="35"/>
      <c r="AXX5" s="35"/>
      <c r="AXY5" s="35"/>
      <c r="AXZ5" s="35"/>
      <c r="AYA5" s="35"/>
      <c r="AYB5" s="35"/>
      <c r="AYC5" s="35"/>
      <c r="AYD5" s="35"/>
      <c r="AYE5" s="35"/>
      <c r="AYF5" s="35"/>
      <c r="AYG5" s="35"/>
      <c r="AYH5" s="35"/>
      <c r="AYI5" s="35"/>
      <c r="AYJ5" s="35"/>
      <c r="AYK5" s="35"/>
      <c r="AYL5" s="35"/>
      <c r="AYM5" s="35"/>
      <c r="AYN5" s="35"/>
      <c r="AYO5" s="35"/>
      <c r="AYP5" s="35"/>
      <c r="AYQ5" s="35"/>
      <c r="AYR5" s="35"/>
      <c r="AYS5" s="35"/>
      <c r="AYT5" s="35"/>
      <c r="AYU5" s="35"/>
      <c r="AYV5" s="35"/>
      <c r="AYW5" s="35"/>
      <c r="AYX5" s="35"/>
      <c r="AYY5" s="35"/>
      <c r="AYZ5" s="35"/>
      <c r="AZA5" s="35"/>
      <c r="AZB5" s="35"/>
      <c r="AZC5" s="35"/>
      <c r="AZD5" s="35"/>
      <c r="AZE5" s="35"/>
      <c r="AZF5" s="35"/>
      <c r="AZG5" s="35"/>
      <c r="AZH5" s="35"/>
      <c r="AZI5" s="35"/>
      <c r="AZJ5" s="35"/>
      <c r="AZK5" s="35"/>
      <c r="AZL5" s="35"/>
      <c r="AZM5" s="35"/>
      <c r="AZN5" s="35"/>
      <c r="AZO5" s="35"/>
      <c r="AZP5" s="35"/>
      <c r="AZQ5" s="35"/>
      <c r="AZR5" s="35"/>
      <c r="AZS5" s="35"/>
      <c r="AZT5" s="35"/>
      <c r="AZU5" s="35"/>
      <c r="AZV5" s="35"/>
      <c r="AZW5" s="35"/>
      <c r="AZX5" s="35"/>
      <c r="AZY5" s="35"/>
      <c r="AZZ5" s="35"/>
      <c r="BAA5" s="35"/>
      <c r="BAB5" s="35"/>
      <c r="BAC5" s="35"/>
      <c r="BAD5" s="35"/>
      <c r="BAE5" s="35"/>
      <c r="BAF5" s="35"/>
      <c r="BAG5" s="35"/>
      <c r="BAH5" s="35"/>
      <c r="BAI5" s="35"/>
      <c r="BAJ5" s="35"/>
      <c r="BAK5" s="35"/>
      <c r="BAL5" s="35"/>
      <c r="BAM5" s="35"/>
      <c r="BAN5" s="35"/>
      <c r="BAO5" s="35"/>
      <c r="BAP5" s="35"/>
      <c r="BAQ5" s="35"/>
      <c r="BAR5" s="35"/>
      <c r="BAS5" s="35"/>
      <c r="BAT5" s="35"/>
      <c r="BAU5" s="35"/>
      <c r="BAV5" s="35"/>
      <c r="BAW5" s="35"/>
      <c r="BAX5" s="35"/>
      <c r="BAY5" s="35"/>
      <c r="BAZ5" s="35"/>
      <c r="BBA5" s="35"/>
      <c r="BBB5" s="35"/>
      <c r="BBC5" s="35"/>
      <c r="BBD5" s="35"/>
      <c r="BBE5" s="35"/>
      <c r="BBF5" s="35"/>
      <c r="BBG5" s="35"/>
      <c r="BBH5" s="35"/>
      <c r="BBI5" s="35"/>
      <c r="BBJ5" s="35"/>
      <c r="BBK5" s="35"/>
      <c r="BBL5" s="35"/>
      <c r="BBM5" s="35"/>
      <c r="BBN5" s="35"/>
      <c r="BBO5" s="35"/>
      <c r="BBP5" s="35"/>
      <c r="BBQ5" s="35"/>
      <c r="BBR5" s="35"/>
      <c r="BBS5" s="35"/>
      <c r="BBT5" s="35"/>
      <c r="BBU5" s="35"/>
      <c r="BBV5" s="35"/>
      <c r="BBW5" s="35"/>
      <c r="BBX5" s="35"/>
      <c r="BBY5" s="35"/>
      <c r="BBZ5" s="35"/>
      <c r="BCA5" s="35"/>
      <c r="BCB5" s="35"/>
      <c r="BCC5" s="35"/>
      <c r="BCD5" s="35"/>
      <c r="BCE5" s="35"/>
      <c r="BCF5" s="35"/>
      <c r="BCG5" s="35"/>
      <c r="BCH5" s="35"/>
      <c r="BCI5" s="35"/>
      <c r="BCJ5" s="35"/>
      <c r="BCK5" s="35"/>
      <c r="BCL5" s="35"/>
      <c r="BCM5" s="35"/>
      <c r="BCN5" s="35"/>
      <c r="BCO5" s="35"/>
      <c r="BCP5" s="35"/>
      <c r="BCQ5" s="35"/>
      <c r="BCR5" s="35"/>
      <c r="BCS5" s="35"/>
      <c r="BCT5" s="35"/>
      <c r="BCU5" s="35"/>
      <c r="BCV5" s="35"/>
      <c r="BCW5" s="35"/>
      <c r="BCX5" s="35"/>
      <c r="BCY5" s="35"/>
      <c r="BCZ5" s="35"/>
      <c r="BDA5" s="35"/>
      <c r="BDB5" s="35"/>
      <c r="BDC5" s="35"/>
      <c r="BDD5" s="35"/>
      <c r="BDE5" s="35"/>
      <c r="BDF5" s="35"/>
      <c r="BDG5" s="35"/>
      <c r="BDH5" s="35"/>
      <c r="BDI5" s="35"/>
      <c r="BDJ5" s="35"/>
      <c r="BDK5" s="35"/>
      <c r="BDL5" s="35"/>
      <c r="BDM5" s="35"/>
      <c r="BDN5" s="35"/>
      <c r="BDO5" s="35"/>
      <c r="BDP5" s="35"/>
      <c r="BDQ5" s="35"/>
      <c r="BDR5" s="35"/>
      <c r="BDS5" s="35"/>
      <c r="BDT5" s="35"/>
      <c r="BDU5" s="35"/>
      <c r="BDV5" s="35"/>
      <c r="BDW5" s="35"/>
      <c r="BDX5" s="35"/>
      <c r="BDY5" s="35"/>
      <c r="BDZ5" s="35"/>
      <c r="BEA5" s="35"/>
      <c r="BEB5" s="35"/>
      <c r="BEC5" s="35"/>
      <c r="BED5" s="35"/>
      <c r="BEE5" s="35"/>
      <c r="BEF5" s="35"/>
      <c r="BEG5" s="35"/>
      <c r="BEH5" s="35"/>
      <c r="BEI5" s="35"/>
      <c r="BEJ5" s="35"/>
      <c r="BEK5" s="35"/>
      <c r="BEL5" s="35"/>
      <c r="BEM5" s="35"/>
      <c r="BEN5" s="35"/>
      <c r="BEO5" s="35"/>
      <c r="BEP5" s="35"/>
      <c r="BEQ5" s="35"/>
      <c r="BER5" s="35"/>
      <c r="BES5" s="35"/>
      <c r="BET5" s="35"/>
      <c r="BEU5" s="35"/>
      <c r="BEV5" s="35"/>
      <c r="BEW5" s="35"/>
      <c r="BEX5" s="35"/>
      <c r="BEY5" s="35"/>
      <c r="BEZ5" s="35"/>
      <c r="BFA5" s="35"/>
      <c r="BFB5" s="35"/>
      <c r="BFC5" s="35"/>
      <c r="BFD5" s="35"/>
      <c r="BFE5" s="35"/>
      <c r="BFF5" s="35"/>
      <c r="BFG5" s="35"/>
      <c r="BFH5" s="35"/>
      <c r="BFI5" s="35"/>
      <c r="BFJ5" s="35"/>
      <c r="BFK5" s="35"/>
      <c r="BFL5" s="35"/>
      <c r="BFM5" s="35"/>
      <c r="BFN5" s="35"/>
      <c r="BFO5" s="35"/>
      <c r="BFP5" s="35"/>
      <c r="BFQ5" s="35"/>
      <c r="BFR5" s="35"/>
      <c r="BFS5" s="35"/>
      <c r="BFT5" s="35"/>
      <c r="BFU5" s="35"/>
      <c r="BFV5" s="35"/>
      <c r="BFW5" s="35"/>
      <c r="BFX5" s="35"/>
      <c r="BFY5" s="35"/>
      <c r="BFZ5" s="35"/>
      <c r="BGA5" s="35"/>
      <c r="BGB5" s="35"/>
      <c r="BGC5" s="35"/>
      <c r="BGD5" s="35"/>
      <c r="BGE5" s="35"/>
      <c r="BGF5" s="35"/>
      <c r="BGG5" s="35"/>
      <c r="BGH5" s="35"/>
      <c r="BGI5" s="35"/>
      <c r="BGJ5" s="35"/>
      <c r="BGK5" s="35"/>
      <c r="BGL5" s="35"/>
      <c r="BGM5" s="35"/>
      <c r="BGN5" s="35"/>
      <c r="BGO5" s="35"/>
      <c r="BGP5" s="35"/>
      <c r="BGQ5" s="35"/>
      <c r="BGR5" s="35"/>
      <c r="BGS5" s="35"/>
      <c r="BGT5" s="35"/>
      <c r="BGU5" s="35"/>
      <c r="BGV5" s="35"/>
      <c r="BGW5" s="35"/>
      <c r="BGX5" s="35"/>
      <c r="BGY5" s="35"/>
      <c r="BGZ5" s="35"/>
      <c r="BHA5" s="35"/>
      <c r="BHB5" s="35"/>
      <c r="BHC5" s="35"/>
      <c r="BHD5" s="35"/>
      <c r="BHE5" s="35"/>
      <c r="BHF5" s="35"/>
      <c r="BHG5" s="35"/>
      <c r="BHH5" s="35"/>
      <c r="BHI5" s="35"/>
      <c r="BHJ5" s="35"/>
      <c r="BHK5" s="35"/>
      <c r="BHL5" s="35"/>
      <c r="BHM5" s="35"/>
      <c r="BHN5" s="35"/>
      <c r="BHO5" s="35"/>
      <c r="BHP5" s="35"/>
      <c r="BHQ5" s="35"/>
      <c r="BHR5" s="35"/>
      <c r="BHS5" s="35"/>
      <c r="BHT5" s="35"/>
      <c r="BHU5" s="35"/>
      <c r="BHV5" s="35"/>
      <c r="BHW5" s="35"/>
      <c r="BHX5" s="35"/>
      <c r="BHY5" s="35"/>
      <c r="BHZ5" s="35"/>
      <c r="BIA5" s="35"/>
      <c r="BIB5" s="35"/>
      <c r="BIC5" s="35"/>
      <c r="BID5" s="35"/>
      <c r="BIE5" s="35"/>
      <c r="BIF5" s="35"/>
      <c r="BIG5" s="35"/>
      <c r="BIH5" s="35"/>
      <c r="BII5" s="35"/>
      <c r="BIJ5" s="35"/>
      <c r="BIK5" s="35"/>
      <c r="BIL5" s="35"/>
      <c r="BIM5" s="35"/>
      <c r="BIN5" s="35"/>
      <c r="BIO5" s="35"/>
      <c r="BIP5" s="35"/>
      <c r="BIQ5" s="35"/>
      <c r="BIR5" s="35"/>
      <c r="BIS5" s="35"/>
      <c r="BIT5" s="35"/>
      <c r="BIU5" s="35"/>
      <c r="BIV5" s="35"/>
      <c r="BIW5" s="35"/>
      <c r="BIX5" s="35"/>
      <c r="BIY5" s="35"/>
      <c r="BIZ5" s="35"/>
      <c r="BJA5" s="35"/>
      <c r="BJB5" s="35"/>
      <c r="BJC5" s="35"/>
      <c r="BJD5" s="35"/>
      <c r="BJE5" s="35"/>
      <c r="BJF5" s="35"/>
      <c r="BJG5" s="35"/>
      <c r="BJH5" s="35"/>
      <c r="BJI5" s="35"/>
      <c r="BJJ5" s="35"/>
      <c r="BJK5" s="35"/>
      <c r="BJL5" s="35"/>
      <c r="BJM5" s="35"/>
      <c r="BJN5" s="35"/>
      <c r="BJO5" s="35"/>
      <c r="BJP5" s="35"/>
      <c r="BJQ5" s="35"/>
      <c r="BJR5" s="35"/>
      <c r="BJS5" s="35"/>
      <c r="BJT5" s="35"/>
      <c r="BJU5" s="35"/>
      <c r="BJV5" s="35"/>
      <c r="BJW5" s="35"/>
      <c r="BJX5" s="35"/>
      <c r="BJY5" s="35"/>
      <c r="BJZ5" s="35"/>
      <c r="BKA5" s="35"/>
      <c r="BKB5" s="35"/>
      <c r="BKC5" s="35"/>
      <c r="BKD5" s="35"/>
      <c r="BKE5" s="35"/>
      <c r="BKF5" s="35"/>
      <c r="BKG5" s="35"/>
      <c r="BKH5" s="35"/>
      <c r="BKI5" s="35"/>
      <c r="BKJ5" s="35"/>
      <c r="BKK5" s="35"/>
      <c r="BKL5" s="35"/>
      <c r="BKM5" s="35"/>
      <c r="BKN5" s="35"/>
      <c r="BKO5" s="35"/>
      <c r="BKP5" s="35"/>
      <c r="BKQ5" s="35"/>
      <c r="BKR5" s="35"/>
      <c r="BKS5" s="35"/>
      <c r="BKT5" s="35"/>
      <c r="BKU5" s="35"/>
      <c r="BKV5" s="35"/>
      <c r="BKW5" s="35"/>
      <c r="BKX5" s="35"/>
      <c r="BKY5" s="35"/>
      <c r="BKZ5" s="35"/>
      <c r="BLA5" s="35"/>
      <c r="BLB5" s="35"/>
      <c r="BLC5" s="35"/>
      <c r="BLD5" s="35"/>
      <c r="BLE5" s="35"/>
      <c r="BLF5" s="35"/>
      <c r="BLG5" s="35"/>
      <c r="BLH5" s="35"/>
      <c r="BLI5" s="35"/>
      <c r="BLJ5" s="35"/>
      <c r="BLK5" s="35"/>
      <c r="BLL5" s="35"/>
      <c r="BLM5" s="35"/>
      <c r="BLN5" s="35"/>
      <c r="BLO5" s="35"/>
      <c r="BLP5" s="35"/>
      <c r="BLQ5" s="35"/>
      <c r="BLR5" s="35"/>
      <c r="BLS5" s="35"/>
      <c r="BLT5" s="35"/>
      <c r="BLU5" s="35"/>
      <c r="BLV5" s="35"/>
      <c r="BLW5" s="35"/>
      <c r="BLX5" s="35"/>
      <c r="BLY5" s="35"/>
      <c r="BLZ5" s="35"/>
      <c r="BMA5" s="35"/>
      <c r="BMB5" s="35"/>
      <c r="BMC5" s="35"/>
      <c r="BMD5" s="35"/>
      <c r="BME5" s="35"/>
      <c r="BMF5" s="35"/>
      <c r="BMG5" s="35"/>
      <c r="BMH5" s="35"/>
      <c r="BMI5" s="35"/>
      <c r="BMJ5" s="35"/>
      <c r="BMK5" s="35"/>
      <c r="BML5" s="35"/>
      <c r="BMM5" s="35"/>
      <c r="BMN5" s="35"/>
      <c r="BMO5" s="35"/>
      <c r="BMP5" s="35"/>
      <c r="BMQ5" s="35"/>
      <c r="BMR5" s="35"/>
      <c r="BMS5" s="35"/>
      <c r="BMT5" s="35"/>
      <c r="BMU5" s="35"/>
      <c r="BMV5" s="35"/>
      <c r="BMW5" s="35"/>
      <c r="BMX5" s="35"/>
      <c r="BMY5" s="35"/>
      <c r="BMZ5" s="35"/>
      <c r="BNA5" s="35"/>
      <c r="BNB5" s="35"/>
      <c r="BNC5" s="35"/>
      <c r="BND5" s="35"/>
      <c r="BNE5" s="35"/>
      <c r="BNF5" s="35"/>
      <c r="BNG5" s="35"/>
      <c r="BNH5" s="35"/>
      <c r="BNI5" s="35"/>
      <c r="BNJ5" s="35"/>
      <c r="BNK5" s="35"/>
      <c r="BNL5" s="35"/>
      <c r="BNM5" s="35"/>
      <c r="BNN5" s="35"/>
      <c r="BNO5" s="35"/>
      <c r="BNP5" s="35"/>
      <c r="BNQ5" s="35"/>
      <c r="BNR5" s="35"/>
      <c r="BNS5" s="35"/>
      <c r="BNT5" s="35"/>
      <c r="BNU5" s="35"/>
      <c r="BNV5" s="35"/>
      <c r="BNW5" s="35"/>
      <c r="BNX5" s="35"/>
      <c r="BNY5" s="35"/>
      <c r="BNZ5" s="35"/>
      <c r="BOA5" s="35"/>
      <c r="BOB5" s="35"/>
      <c r="BOC5" s="35"/>
      <c r="BOD5" s="35"/>
      <c r="BOE5" s="35"/>
      <c r="BOF5" s="35"/>
      <c r="BOG5" s="35"/>
      <c r="BOH5" s="35"/>
      <c r="BOI5" s="35"/>
      <c r="BOJ5" s="35"/>
      <c r="BOK5" s="35"/>
      <c r="BOL5" s="35"/>
      <c r="BOM5" s="35"/>
      <c r="BON5" s="35"/>
      <c r="BOO5" s="35"/>
      <c r="BOP5" s="35"/>
      <c r="BOQ5" s="35"/>
      <c r="BOR5" s="35"/>
      <c r="BOS5" s="35"/>
      <c r="BOT5" s="35"/>
      <c r="BOU5" s="35"/>
      <c r="BOV5" s="35"/>
      <c r="BOW5" s="35"/>
      <c r="BOX5" s="35"/>
      <c r="BOY5" s="35"/>
      <c r="BOZ5" s="35"/>
      <c r="BPA5" s="35"/>
      <c r="BPB5" s="35"/>
      <c r="BPC5" s="35"/>
      <c r="BPD5" s="35"/>
      <c r="BPE5" s="35"/>
      <c r="BPF5" s="35"/>
      <c r="BPG5" s="35"/>
      <c r="BPH5" s="35"/>
      <c r="BPI5" s="35"/>
      <c r="BPJ5" s="35"/>
      <c r="BPK5" s="35"/>
      <c r="BPL5" s="35"/>
      <c r="BPM5" s="35"/>
      <c r="BPN5" s="35"/>
      <c r="BPO5" s="35"/>
      <c r="BPP5" s="35"/>
      <c r="BPQ5" s="35"/>
      <c r="BPR5" s="35"/>
      <c r="BPS5" s="35"/>
      <c r="BPT5" s="35"/>
      <c r="BPU5" s="35"/>
      <c r="BPV5" s="35"/>
      <c r="BPW5" s="35"/>
      <c r="BPX5" s="35"/>
      <c r="BPY5" s="35"/>
      <c r="BPZ5" s="35"/>
      <c r="BQA5" s="35"/>
      <c r="BQB5" s="35"/>
      <c r="BQC5" s="35"/>
      <c r="BQD5" s="35"/>
      <c r="BQE5" s="35"/>
      <c r="BQF5" s="35"/>
      <c r="BQG5" s="35"/>
      <c r="BQH5" s="35"/>
      <c r="BQI5" s="35"/>
      <c r="BQJ5" s="35"/>
      <c r="BQK5" s="35"/>
      <c r="BQL5" s="35"/>
      <c r="BQM5" s="35"/>
      <c r="BQN5" s="35"/>
      <c r="BQO5" s="35"/>
      <c r="BQP5" s="35"/>
      <c r="BQQ5" s="35"/>
      <c r="BQR5" s="35"/>
      <c r="BQS5" s="35"/>
      <c r="BQT5" s="35"/>
      <c r="BQU5" s="35"/>
      <c r="BQV5" s="35"/>
      <c r="BQW5" s="35"/>
      <c r="BQX5" s="35"/>
      <c r="BQY5" s="35"/>
      <c r="BQZ5" s="35"/>
      <c r="BRA5" s="35"/>
      <c r="BRB5" s="35"/>
      <c r="BRC5" s="35"/>
      <c r="BRD5" s="35"/>
      <c r="BRE5" s="35"/>
      <c r="BRF5" s="35"/>
      <c r="BRG5" s="35"/>
      <c r="BRH5" s="35"/>
      <c r="BRI5" s="35"/>
      <c r="BRJ5" s="35"/>
      <c r="BRK5" s="35"/>
      <c r="BRL5" s="35"/>
      <c r="BRM5" s="35"/>
      <c r="BRN5" s="35"/>
      <c r="BRO5" s="35"/>
      <c r="BRP5" s="35"/>
      <c r="BRQ5" s="35"/>
      <c r="BRR5" s="35"/>
      <c r="BRS5" s="35"/>
      <c r="BRT5" s="35"/>
      <c r="BRU5" s="35"/>
      <c r="BRV5" s="35"/>
      <c r="BRW5" s="35"/>
      <c r="BRX5" s="35"/>
      <c r="BRY5" s="35"/>
      <c r="BRZ5" s="35"/>
      <c r="BSA5" s="35"/>
      <c r="BSB5" s="35"/>
    </row>
    <row r="6" spans="2:1848" x14ac:dyDescent="0.2">
      <c r="B6" s="4" t="s">
        <v>1</v>
      </c>
      <c r="C6" s="5">
        <v>553.846</v>
      </c>
      <c r="D6" s="5">
        <v>515.38499999999999</v>
      </c>
      <c r="E6" s="5">
        <v>461.53799999999995</v>
      </c>
      <c r="F6" s="5">
        <v>428.20500000000004</v>
      </c>
      <c r="G6" s="5">
        <v>407.69200000000001</v>
      </c>
      <c r="H6" s="5">
        <v>387.17899999999997</v>
      </c>
      <c r="I6" s="5">
        <v>356.40999999999997</v>
      </c>
      <c r="J6" s="5">
        <v>330.76900000000001</v>
      </c>
      <c r="K6" s="5">
        <v>289.74399999999997</v>
      </c>
      <c r="L6" s="5">
        <v>261.53800000000001</v>
      </c>
      <c r="M6" s="5">
        <v>230.76899999999998</v>
      </c>
      <c r="N6" s="5">
        <v>223.077</v>
      </c>
      <c r="O6" s="5">
        <v>223.077</v>
      </c>
      <c r="P6" s="5">
        <v>233.33300000000003</v>
      </c>
      <c r="Q6" s="5">
        <v>258.97399999999999</v>
      </c>
      <c r="R6" s="5">
        <v>294.87200000000001</v>
      </c>
      <c r="S6" s="5">
        <v>328.20500000000004</v>
      </c>
      <c r="T6" s="5">
        <v>353.846</v>
      </c>
      <c r="U6" s="5">
        <v>402.56399999999996</v>
      </c>
      <c r="V6" s="5">
        <v>441.02600000000001</v>
      </c>
      <c r="W6" s="5">
        <v>466.66699999999997</v>
      </c>
      <c r="X6" s="5">
        <v>500</v>
      </c>
      <c r="Y6" s="5">
        <v>530.76900000000001</v>
      </c>
      <c r="Z6" s="5">
        <v>566.66700000000003</v>
      </c>
      <c r="AA6" s="5">
        <v>592.30799999999999</v>
      </c>
      <c r="AB6" s="5">
        <v>612.82100000000003</v>
      </c>
      <c r="AC6" s="5">
        <v>615.38499999999999</v>
      </c>
      <c r="AD6" s="5">
        <v>617.94899999999996</v>
      </c>
      <c r="AE6" s="5">
        <v>574.35899999999992</v>
      </c>
      <c r="AF6" s="5">
        <v>548.71799999999996</v>
      </c>
      <c r="AG6" s="5">
        <v>525.64100000000008</v>
      </c>
      <c r="AH6" s="5">
        <v>482.05100000000004</v>
      </c>
      <c r="AI6" s="5">
        <v>494.87200000000001</v>
      </c>
      <c r="AJ6" s="5">
        <v>510.25599999999997</v>
      </c>
      <c r="AK6" s="5">
        <v>453.846</v>
      </c>
      <c r="AL6" s="5">
        <v>428.20500000000004</v>
      </c>
      <c r="AM6" s="5">
        <v>387.17899999999997</v>
      </c>
      <c r="AN6" s="5">
        <v>351.28199999999998</v>
      </c>
      <c r="AO6" s="5">
        <v>325.64100000000002</v>
      </c>
      <c r="AP6" s="5">
        <v>300</v>
      </c>
      <c r="AQ6" s="5">
        <v>335.89699999999999</v>
      </c>
      <c r="AR6" s="5">
        <v>366.66699999999997</v>
      </c>
      <c r="AS6" s="5">
        <v>382.05100000000004</v>
      </c>
      <c r="AT6" s="5">
        <v>297.43600000000004</v>
      </c>
      <c r="AU6" s="5">
        <v>297.43600000000004</v>
      </c>
      <c r="AV6" s="5">
        <v>300</v>
      </c>
      <c r="AW6" s="5">
        <v>320.51299999999998</v>
      </c>
      <c r="AX6" s="5">
        <v>358.97399999999999</v>
      </c>
      <c r="AY6" s="5">
        <v>410.25599999999997</v>
      </c>
      <c r="AZ6" s="5">
        <v>441.02600000000001</v>
      </c>
      <c r="BA6" s="5">
        <v>471.79499999999996</v>
      </c>
      <c r="BB6" s="5">
        <v>494.87200000000001</v>
      </c>
      <c r="BC6" s="5">
        <v>515.38499999999999</v>
      </c>
      <c r="BD6" s="5">
        <v>535.89700000000005</v>
      </c>
      <c r="BE6" s="5">
        <v>551.28200000000004</v>
      </c>
      <c r="BF6" s="5">
        <v>566.66700000000003</v>
      </c>
      <c r="BG6" s="5">
        <v>592.30799999999999</v>
      </c>
      <c r="BH6" s="5">
        <v>623.077</v>
      </c>
      <c r="BI6" s="5">
        <v>648.71799999999996</v>
      </c>
      <c r="BJ6" s="5">
        <v>679.48700000000008</v>
      </c>
      <c r="BK6" s="5">
        <v>705.12799999999993</v>
      </c>
      <c r="BL6" s="5">
        <v>715.38499999999999</v>
      </c>
      <c r="BM6" s="5">
        <v>715.38499999999999</v>
      </c>
      <c r="BN6" s="5">
        <v>694.87200000000007</v>
      </c>
      <c r="BO6" s="5">
        <v>469.23099999999999</v>
      </c>
      <c r="BP6" s="5">
        <v>482.05100000000004</v>
      </c>
      <c r="BQ6" s="5">
        <v>500</v>
      </c>
      <c r="BR6" s="5">
        <v>530.76900000000001</v>
      </c>
      <c r="BS6" s="5">
        <v>553.846</v>
      </c>
      <c r="BT6" s="5">
        <v>566.66700000000003</v>
      </c>
      <c r="BU6" s="5">
        <v>561.53800000000001</v>
      </c>
      <c r="BV6" s="5">
        <v>538.46199999999999</v>
      </c>
      <c r="BW6" s="5">
        <v>512.82100000000003</v>
      </c>
      <c r="BX6" s="5">
        <v>500</v>
      </c>
      <c r="BY6" s="5">
        <v>479.48700000000002</v>
      </c>
      <c r="BZ6" s="5">
        <v>297.43600000000004</v>
      </c>
      <c r="CA6" s="5">
        <v>297.43600000000004</v>
      </c>
      <c r="CB6" s="5">
        <v>312.82100000000003</v>
      </c>
      <c r="CC6" s="5">
        <v>579.48700000000008</v>
      </c>
      <c r="CD6" s="5">
        <v>617.94899999999996</v>
      </c>
      <c r="CE6" s="5">
        <v>648.71799999999996</v>
      </c>
      <c r="CF6" s="5">
        <v>684.61500000000001</v>
      </c>
      <c r="CG6" s="5">
        <v>707.69200000000001</v>
      </c>
      <c r="CH6" s="5">
        <v>720.51299999999992</v>
      </c>
      <c r="CI6" s="5">
        <v>738.46199999999999</v>
      </c>
      <c r="CJ6" s="5">
        <v>751.28200000000004</v>
      </c>
      <c r="CK6" s="5">
        <v>766.66700000000003</v>
      </c>
      <c r="CL6" s="5">
        <v>776.923</v>
      </c>
      <c r="CM6" s="5">
        <v>797.43600000000004</v>
      </c>
      <c r="CN6" s="5">
        <v>817.94899999999996</v>
      </c>
      <c r="CO6" s="5">
        <v>833.33299999999997</v>
      </c>
      <c r="CP6" s="5">
        <v>851.28200000000004</v>
      </c>
      <c r="CQ6" s="5">
        <v>864.10300000000007</v>
      </c>
      <c r="CR6" s="5">
        <v>879.48700000000008</v>
      </c>
      <c r="CS6" s="5">
        <v>894.87200000000007</v>
      </c>
      <c r="CT6" s="5">
        <v>933.33299999999997</v>
      </c>
      <c r="CU6" s="5">
        <v>953.846</v>
      </c>
      <c r="CV6" s="5">
        <v>982.05100000000004</v>
      </c>
      <c r="CW6" s="5">
        <v>566.66700000000003</v>
      </c>
      <c r="CX6" s="5">
        <v>592.30799999999999</v>
      </c>
      <c r="CY6" s="5">
        <v>607.69200000000001</v>
      </c>
      <c r="CZ6" s="5">
        <v>630.76900000000001</v>
      </c>
      <c r="DA6" s="5">
        <v>641.02599999999995</v>
      </c>
      <c r="DB6" s="5">
        <v>643.58999999999992</v>
      </c>
      <c r="DC6" s="5">
        <v>743.58999999999992</v>
      </c>
      <c r="DD6" s="5">
        <v>712.82100000000003</v>
      </c>
      <c r="DE6" s="5">
        <v>679.48700000000008</v>
      </c>
      <c r="DF6" s="5">
        <v>658.97400000000005</v>
      </c>
      <c r="DG6" s="5">
        <v>630.76900000000001</v>
      </c>
      <c r="DH6" s="5">
        <v>612.82100000000003</v>
      </c>
      <c r="DI6" s="5">
        <v>587.17899999999997</v>
      </c>
      <c r="DJ6" s="5">
        <v>551.28200000000004</v>
      </c>
      <c r="DK6" s="5">
        <v>523.077</v>
      </c>
      <c r="DL6" s="5">
        <v>497.43600000000004</v>
      </c>
      <c r="DM6" s="5">
        <v>474.35899999999998</v>
      </c>
      <c r="DN6" s="5">
        <v>448.71800000000002</v>
      </c>
      <c r="DO6" s="5">
        <v>487.17899999999997</v>
      </c>
      <c r="DP6" s="5">
        <v>512.82100000000003</v>
      </c>
      <c r="DQ6" s="5">
        <v>541.02600000000007</v>
      </c>
      <c r="DR6" s="5">
        <v>561.53800000000001</v>
      </c>
      <c r="DS6" s="5">
        <v>520.51299999999992</v>
      </c>
      <c r="DT6" s="5">
        <v>487.17899999999997</v>
      </c>
      <c r="DU6" s="5">
        <v>471.79499999999996</v>
      </c>
      <c r="DV6" s="5">
        <v>461.53799999999995</v>
      </c>
      <c r="DW6" s="5">
        <v>505.12799999999999</v>
      </c>
      <c r="DX6" s="5">
        <v>538.46199999999999</v>
      </c>
      <c r="DY6" s="5">
        <v>574.35899999999992</v>
      </c>
      <c r="DZ6" s="5">
        <v>600</v>
      </c>
      <c r="EA6" s="5">
        <v>641.02599999999995</v>
      </c>
      <c r="EB6" s="5">
        <v>669.23099999999999</v>
      </c>
      <c r="EC6" s="5">
        <v>712.82100000000003</v>
      </c>
      <c r="ED6" s="5">
        <v>743.58999999999992</v>
      </c>
      <c r="EE6" s="5">
        <v>782.05100000000004</v>
      </c>
      <c r="EF6" s="5">
        <v>679.48700000000008</v>
      </c>
      <c r="EG6" s="5">
        <v>684.61500000000001</v>
      </c>
      <c r="EH6" s="5">
        <v>682.05100000000004</v>
      </c>
      <c r="EI6" s="5">
        <v>376.923</v>
      </c>
      <c r="EJ6" s="5">
        <v>394.87200000000001</v>
      </c>
      <c r="EK6" s="5">
        <v>912.82100000000003</v>
      </c>
      <c r="EL6" s="5">
        <v>500</v>
      </c>
      <c r="EM6" s="5">
        <v>479.48700000000002</v>
      </c>
      <c r="EN6" s="5">
        <v>441.02600000000001</v>
      </c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  <c r="AMD6" s="5"/>
      <c r="AME6" s="5"/>
      <c r="AMF6" s="5"/>
      <c r="AMG6" s="5"/>
      <c r="AMH6" s="5"/>
      <c r="AMI6" s="5"/>
      <c r="AMJ6" s="5"/>
      <c r="AMK6" s="5"/>
      <c r="AML6" s="5"/>
      <c r="AMM6" s="5"/>
      <c r="AMN6" s="5"/>
      <c r="AMO6" s="5"/>
      <c r="AMP6" s="5"/>
      <c r="AMQ6" s="5"/>
      <c r="AMR6" s="5"/>
      <c r="AMS6" s="5"/>
      <c r="AMT6" s="5"/>
      <c r="AMU6" s="5"/>
      <c r="AMV6" s="5"/>
      <c r="AMW6" s="5"/>
      <c r="AMX6" s="5"/>
      <c r="AMY6" s="5"/>
      <c r="AMZ6" s="5"/>
      <c r="ANA6" s="5"/>
      <c r="ANB6" s="5"/>
      <c r="ANC6" s="5"/>
      <c r="AND6" s="5"/>
      <c r="ANE6" s="5"/>
      <c r="ANF6" s="5"/>
      <c r="ANG6" s="5"/>
      <c r="ANH6" s="5"/>
      <c r="ANI6" s="5"/>
      <c r="ANJ6" s="5"/>
      <c r="ANK6" s="5"/>
      <c r="ANL6" s="5"/>
      <c r="ANM6" s="5"/>
      <c r="ANN6" s="5"/>
      <c r="ANO6" s="5"/>
      <c r="ANP6" s="5"/>
      <c r="ANQ6" s="5"/>
      <c r="ANR6" s="5"/>
      <c r="ANS6" s="5"/>
      <c r="ANT6" s="5"/>
      <c r="ANU6" s="5"/>
      <c r="ANV6" s="5"/>
      <c r="ANW6" s="5"/>
      <c r="ANX6" s="5"/>
      <c r="ANY6" s="5"/>
      <c r="ANZ6" s="5"/>
      <c r="AOA6" s="5"/>
      <c r="AOB6" s="5"/>
      <c r="AOC6" s="5"/>
      <c r="AOD6" s="5"/>
      <c r="AOE6" s="5"/>
      <c r="AOF6" s="5"/>
      <c r="AOG6" s="5"/>
      <c r="AOH6" s="5"/>
      <c r="AOI6" s="5"/>
      <c r="AOJ6" s="5"/>
      <c r="AOK6" s="5"/>
      <c r="AOL6" s="5"/>
      <c r="AOM6" s="5"/>
      <c r="AON6" s="5"/>
      <c r="AOO6" s="5"/>
      <c r="AOP6" s="5"/>
      <c r="AOQ6" s="5"/>
      <c r="AOR6" s="5"/>
      <c r="AOS6" s="5"/>
      <c r="AOT6" s="5"/>
      <c r="AOU6" s="5"/>
      <c r="AOV6" s="5"/>
      <c r="AOW6" s="5"/>
      <c r="AOX6" s="5"/>
      <c r="AOY6" s="5"/>
      <c r="AOZ6" s="5"/>
      <c r="APA6" s="5"/>
      <c r="APB6" s="5"/>
      <c r="APC6" s="5"/>
      <c r="APD6" s="5"/>
      <c r="APE6" s="5"/>
      <c r="APF6" s="5"/>
      <c r="APG6" s="5"/>
      <c r="APH6" s="5"/>
      <c r="API6" s="5"/>
      <c r="APJ6" s="5"/>
      <c r="APK6" s="5"/>
      <c r="APL6" s="5"/>
      <c r="APM6" s="5"/>
      <c r="APN6" s="5"/>
      <c r="APO6" s="5"/>
      <c r="APP6" s="5"/>
      <c r="APQ6" s="5"/>
      <c r="APR6" s="5"/>
      <c r="APS6" s="5"/>
      <c r="APT6" s="5"/>
      <c r="APU6" s="5"/>
      <c r="APV6" s="5"/>
      <c r="APW6" s="5"/>
      <c r="APX6" s="5"/>
      <c r="APY6" s="5"/>
      <c r="APZ6" s="5"/>
      <c r="AQA6" s="5"/>
      <c r="AQB6" s="5"/>
      <c r="AQC6" s="5"/>
      <c r="AQD6" s="5"/>
      <c r="AQE6" s="5"/>
      <c r="AQF6" s="5"/>
      <c r="AQG6" s="5"/>
      <c r="AQH6" s="5"/>
      <c r="AQI6" s="5"/>
      <c r="AQJ6" s="5"/>
      <c r="AQK6" s="5"/>
      <c r="AQL6" s="5"/>
      <c r="AQM6" s="5"/>
      <c r="AQN6" s="5"/>
      <c r="AQO6" s="5"/>
      <c r="AQP6" s="5"/>
      <c r="AQQ6" s="5"/>
      <c r="AQR6" s="5"/>
      <c r="AQS6" s="5"/>
      <c r="AQT6" s="5"/>
      <c r="AQU6" s="5"/>
      <c r="AQV6" s="5"/>
      <c r="AQW6" s="5"/>
      <c r="AQX6" s="5"/>
      <c r="AQY6" s="5"/>
      <c r="AQZ6" s="5"/>
      <c r="ARA6" s="5"/>
      <c r="ARB6" s="5"/>
      <c r="ARC6" s="5"/>
      <c r="ARD6" s="5"/>
      <c r="ARE6" s="5"/>
      <c r="ARF6" s="5"/>
      <c r="ARG6" s="5"/>
      <c r="ARH6" s="5"/>
      <c r="ARI6" s="5"/>
      <c r="ARJ6" s="5"/>
      <c r="ARK6" s="5"/>
      <c r="ARL6" s="5"/>
      <c r="ARM6" s="5"/>
      <c r="ARN6" s="5"/>
      <c r="ARO6" s="5"/>
      <c r="ARP6" s="5"/>
      <c r="ARQ6" s="5"/>
      <c r="ARR6" s="5"/>
      <c r="ARS6" s="5"/>
      <c r="ART6" s="5"/>
      <c r="ARU6" s="5"/>
      <c r="ARV6" s="5"/>
      <c r="ARW6" s="5"/>
      <c r="ARX6" s="5"/>
      <c r="ARY6" s="5"/>
      <c r="ARZ6" s="5"/>
      <c r="ASA6" s="5"/>
      <c r="ASB6" s="5"/>
      <c r="ASC6" s="5"/>
      <c r="ASD6" s="5"/>
      <c r="ASE6" s="5"/>
      <c r="ASF6" s="5"/>
      <c r="ASG6" s="5"/>
      <c r="ASH6" s="5"/>
      <c r="ASI6" s="5"/>
      <c r="ASJ6" s="5"/>
      <c r="ASK6" s="5"/>
      <c r="ASL6" s="5"/>
      <c r="ASM6" s="5"/>
      <c r="ASN6" s="5"/>
      <c r="ASO6" s="5"/>
      <c r="ASP6" s="5"/>
      <c r="ASQ6" s="5"/>
      <c r="ASR6" s="5"/>
      <c r="ASS6" s="5"/>
      <c r="AST6" s="5"/>
      <c r="ASU6" s="5"/>
      <c r="ASV6" s="5"/>
      <c r="ASW6" s="5"/>
      <c r="ASX6" s="5"/>
      <c r="ASY6" s="5"/>
      <c r="ASZ6" s="5"/>
      <c r="ATA6" s="5"/>
      <c r="ATB6" s="5"/>
      <c r="ATC6" s="5"/>
      <c r="ATD6" s="5"/>
      <c r="ATE6" s="5"/>
      <c r="ATF6" s="5"/>
      <c r="ATG6" s="5"/>
      <c r="ATH6" s="5"/>
      <c r="ATI6" s="5"/>
      <c r="ATJ6" s="5"/>
      <c r="ATK6" s="5"/>
      <c r="ATL6" s="5"/>
      <c r="ATM6" s="5"/>
      <c r="ATN6" s="5"/>
      <c r="ATO6" s="5"/>
      <c r="ATP6" s="5"/>
      <c r="ATQ6" s="5"/>
      <c r="ATR6" s="5"/>
      <c r="ATS6" s="5"/>
      <c r="ATT6" s="5"/>
      <c r="ATU6" s="5"/>
      <c r="ATV6" s="5"/>
      <c r="ATW6" s="5"/>
      <c r="ATX6" s="5"/>
      <c r="ATY6" s="5"/>
      <c r="ATZ6" s="5"/>
      <c r="AUA6" s="5"/>
      <c r="AUB6" s="5"/>
      <c r="AUC6" s="5"/>
      <c r="AUD6" s="5"/>
      <c r="AUE6" s="5"/>
      <c r="AUF6" s="5"/>
      <c r="AUG6" s="5"/>
      <c r="AUH6" s="5"/>
      <c r="AUI6" s="5"/>
      <c r="AUJ6" s="5"/>
      <c r="AUK6" s="5"/>
      <c r="AUL6" s="5"/>
      <c r="AUM6" s="5"/>
      <c r="AUN6" s="5"/>
      <c r="AUO6" s="5"/>
      <c r="AUP6" s="5"/>
      <c r="AUQ6" s="5"/>
      <c r="AUR6" s="5"/>
      <c r="AUS6" s="5"/>
      <c r="AUT6" s="5"/>
      <c r="AUU6" s="5"/>
      <c r="AUV6" s="5"/>
      <c r="AUW6" s="5"/>
      <c r="AUX6" s="5"/>
      <c r="AUY6" s="5"/>
      <c r="AUZ6" s="5"/>
      <c r="AVA6" s="5"/>
      <c r="AVB6" s="5"/>
      <c r="AVC6" s="5"/>
      <c r="AVD6" s="5"/>
      <c r="AVE6" s="5"/>
      <c r="AVF6" s="5"/>
      <c r="AVG6" s="5"/>
      <c r="AVH6" s="5"/>
      <c r="AVI6" s="5"/>
      <c r="AVJ6" s="5"/>
      <c r="AVK6" s="5"/>
      <c r="AVL6" s="5"/>
      <c r="AVM6" s="5"/>
      <c r="AVN6" s="5"/>
      <c r="AVO6" s="5"/>
      <c r="AVP6" s="5"/>
      <c r="AVQ6" s="5"/>
      <c r="AVR6" s="5"/>
      <c r="AVS6" s="5"/>
      <c r="AVT6" s="5"/>
      <c r="AVU6" s="5"/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  <c r="AWY6" s="5"/>
      <c r="AWZ6" s="5"/>
      <c r="AXA6" s="5"/>
      <c r="AXB6" s="5"/>
      <c r="AXC6" s="5"/>
      <c r="AXD6" s="5"/>
      <c r="AXE6" s="5"/>
      <c r="AXF6" s="5"/>
      <c r="AXG6" s="5"/>
      <c r="AXH6" s="5"/>
      <c r="AXI6" s="5"/>
      <c r="AXJ6" s="5"/>
      <c r="AXK6" s="5"/>
      <c r="AXL6" s="5"/>
      <c r="AXM6" s="5"/>
      <c r="AXN6" s="5"/>
      <c r="AXO6" s="5"/>
      <c r="AXP6" s="5"/>
      <c r="AXQ6" s="5"/>
      <c r="AXR6" s="5"/>
      <c r="AXS6" s="5"/>
      <c r="AXT6" s="5"/>
      <c r="AXU6" s="5"/>
      <c r="AXV6" s="5"/>
      <c r="AXW6" s="5"/>
      <c r="AXX6" s="5"/>
      <c r="AXY6" s="5"/>
      <c r="AXZ6" s="5"/>
      <c r="AYA6" s="5"/>
      <c r="AYB6" s="5"/>
      <c r="AYC6" s="5"/>
      <c r="AYD6" s="5"/>
      <c r="AYE6" s="5"/>
      <c r="AYF6" s="5"/>
      <c r="AYG6" s="5"/>
      <c r="AYH6" s="5"/>
      <c r="AYI6" s="5"/>
      <c r="AYJ6" s="5"/>
      <c r="AYK6" s="5"/>
      <c r="AYL6" s="5"/>
      <c r="AYM6" s="5"/>
      <c r="AYN6" s="5"/>
      <c r="AYO6" s="5"/>
      <c r="AYP6" s="5"/>
      <c r="AYQ6" s="5"/>
      <c r="AYR6" s="5"/>
      <c r="AYS6" s="5"/>
      <c r="AYT6" s="5"/>
      <c r="AYU6" s="5"/>
      <c r="AYV6" s="5"/>
      <c r="AYW6" s="5"/>
      <c r="AYX6" s="5"/>
      <c r="AYY6" s="5"/>
      <c r="AYZ6" s="5"/>
      <c r="AZA6" s="5"/>
      <c r="AZB6" s="5"/>
      <c r="AZC6" s="5"/>
      <c r="AZD6" s="5"/>
      <c r="AZE6" s="5"/>
      <c r="AZF6" s="5"/>
      <c r="AZG6" s="5"/>
      <c r="AZH6" s="5"/>
      <c r="AZI6" s="5"/>
      <c r="AZJ6" s="5"/>
      <c r="AZK6" s="5"/>
      <c r="AZL6" s="5"/>
      <c r="AZM6" s="5"/>
      <c r="AZN6" s="5"/>
      <c r="AZO6" s="5"/>
      <c r="AZP6" s="5"/>
      <c r="AZQ6" s="5"/>
      <c r="AZR6" s="5"/>
      <c r="AZS6" s="5"/>
      <c r="AZT6" s="5"/>
      <c r="AZU6" s="5"/>
      <c r="AZV6" s="5"/>
      <c r="AZW6" s="5"/>
      <c r="AZX6" s="5"/>
      <c r="AZY6" s="5"/>
      <c r="AZZ6" s="5"/>
      <c r="BAA6" s="5"/>
      <c r="BAB6" s="5"/>
      <c r="BAC6" s="5"/>
      <c r="BAD6" s="5"/>
      <c r="BAE6" s="5"/>
      <c r="BAF6" s="5"/>
      <c r="BAG6" s="5"/>
      <c r="BAH6" s="5"/>
      <c r="BAI6" s="5"/>
      <c r="BAJ6" s="5"/>
      <c r="BAK6" s="5"/>
      <c r="BAL6" s="5"/>
      <c r="BAM6" s="5"/>
      <c r="BAN6" s="5"/>
      <c r="BAO6" s="5"/>
      <c r="BAP6" s="5"/>
      <c r="BAQ6" s="5"/>
      <c r="BAR6" s="5"/>
      <c r="BAS6" s="5"/>
      <c r="BAT6" s="5"/>
      <c r="BAU6" s="5"/>
      <c r="BAV6" s="5"/>
      <c r="BAW6" s="5"/>
      <c r="BAX6" s="5"/>
      <c r="BAY6" s="5"/>
      <c r="BAZ6" s="5"/>
      <c r="BBA6" s="5"/>
      <c r="BBB6" s="5"/>
      <c r="BBC6" s="5"/>
      <c r="BBD6" s="5"/>
      <c r="BBE6" s="5"/>
      <c r="BBF6" s="5"/>
      <c r="BBG6" s="5"/>
      <c r="BBH6" s="5"/>
      <c r="BBI6" s="5"/>
      <c r="BBJ6" s="5"/>
      <c r="BBK6" s="5"/>
      <c r="BBL6" s="5"/>
      <c r="BBM6" s="5"/>
      <c r="BBN6" s="5"/>
      <c r="BBO6" s="5"/>
      <c r="BBP6" s="5"/>
      <c r="BBQ6" s="5"/>
      <c r="BBR6" s="5"/>
      <c r="BBS6" s="5"/>
      <c r="BBT6" s="5"/>
      <c r="BBU6" s="5"/>
      <c r="BBV6" s="5"/>
      <c r="BBW6" s="5"/>
      <c r="BBX6" s="5"/>
      <c r="BBY6" s="5"/>
      <c r="BBZ6" s="5"/>
      <c r="BCA6" s="5"/>
      <c r="BCB6" s="5"/>
      <c r="BCC6" s="5"/>
      <c r="BCD6" s="5"/>
      <c r="BCE6" s="5"/>
      <c r="BCF6" s="5"/>
      <c r="BCG6" s="5"/>
      <c r="BCH6" s="5"/>
      <c r="BCI6" s="5"/>
      <c r="BCJ6" s="5"/>
      <c r="BCK6" s="5"/>
      <c r="BCL6" s="5"/>
      <c r="BCM6" s="5"/>
      <c r="BCN6" s="5"/>
      <c r="BCO6" s="5"/>
      <c r="BCP6" s="5"/>
      <c r="BCQ6" s="5"/>
      <c r="BCR6" s="5"/>
      <c r="BCS6" s="5"/>
      <c r="BCT6" s="5"/>
      <c r="BCU6" s="5"/>
      <c r="BCV6" s="5"/>
      <c r="BCW6" s="5"/>
      <c r="BCX6" s="5"/>
      <c r="BCY6" s="5"/>
      <c r="BCZ6" s="5"/>
      <c r="BDA6" s="5"/>
      <c r="BDB6" s="5"/>
      <c r="BDC6" s="5"/>
      <c r="BDD6" s="5"/>
      <c r="BDE6" s="5"/>
      <c r="BDF6" s="5"/>
      <c r="BDG6" s="5"/>
      <c r="BDH6" s="5"/>
      <c r="BDI6" s="5"/>
      <c r="BDJ6" s="5"/>
      <c r="BDK6" s="5"/>
      <c r="BDL6" s="5"/>
      <c r="BDM6" s="5"/>
      <c r="BDN6" s="5"/>
      <c r="BDO6" s="5"/>
      <c r="BDP6" s="5"/>
      <c r="BDQ6" s="5"/>
      <c r="BDR6" s="5"/>
      <c r="BDS6" s="5"/>
      <c r="BDT6" s="5"/>
      <c r="BDU6" s="5"/>
      <c r="BDV6" s="5"/>
      <c r="BDW6" s="5"/>
      <c r="BDX6" s="5"/>
      <c r="BDY6" s="5"/>
      <c r="BDZ6" s="5"/>
      <c r="BEA6" s="5"/>
      <c r="BEB6" s="5"/>
      <c r="BEC6" s="5"/>
      <c r="BED6" s="5"/>
      <c r="BEE6" s="5"/>
      <c r="BEF6" s="5"/>
      <c r="BEG6" s="5"/>
      <c r="BEH6" s="5"/>
      <c r="BEI6" s="5"/>
      <c r="BEJ6" s="5"/>
      <c r="BEK6" s="5"/>
      <c r="BEL6" s="5"/>
      <c r="BEM6" s="5"/>
      <c r="BEN6" s="5"/>
      <c r="BEO6" s="5"/>
      <c r="BEP6" s="5"/>
      <c r="BEQ6" s="5"/>
      <c r="BER6" s="5"/>
      <c r="BES6" s="5"/>
      <c r="BET6" s="5"/>
      <c r="BEU6" s="5"/>
      <c r="BEV6" s="5"/>
      <c r="BEW6" s="5"/>
      <c r="BEX6" s="5"/>
      <c r="BEY6" s="5"/>
      <c r="BEZ6" s="5"/>
      <c r="BFA6" s="5"/>
      <c r="BFB6" s="5"/>
      <c r="BFC6" s="5"/>
      <c r="BFD6" s="5"/>
      <c r="BFE6" s="5"/>
      <c r="BFF6" s="5"/>
      <c r="BFG6" s="5"/>
      <c r="BFH6" s="5"/>
      <c r="BFI6" s="5"/>
      <c r="BFJ6" s="5"/>
      <c r="BFK6" s="5"/>
      <c r="BFL6" s="5"/>
      <c r="BFM6" s="5"/>
      <c r="BFN6" s="5"/>
      <c r="BFO6" s="5"/>
      <c r="BFP6" s="5"/>
      <c r="BFQ6" s="5"/>
      <c r="BFR6" s="5"/>
      <c r="BFS6" s="5"/>
      <c r="BFT6" s="5"/>
      <c r="BFU6" s="5"/>
      <c r="BFV6" s="5"/>
      <c r="BFW6" s="5"/>
      <c r="BFX6" s="5"/>
      <c r="BFY6" s="5"/>
      <c r="BFZ6" s="5"/>
      <c r="BGA6" s="5"/>
      <c r="BGB6" s="5"/>
      <c r="BGC6" s="5"/>
      <c r="BGD6" s="5"/>
      <c r="BGE6" s="5"/>
      <c r="BGF6" s="5"/>
      <c r="BGG6" s="5"/>
      <c r="BGH6" s="5"/>
      <c r="BGI6" s="5"/>
      <c r="BGJ6" s="5"/>
      <c r="BGK6" s="5"/>
      <c r="BGL6" s="5"/>
      <c r="BGM6" s="5"/>
      <c r="BGN6" s="5"/>
      <c r="BGO6" s="5"/>
      <c r="BGP6" s="5"/>
      <c r="BGQ6" s="5"/>
      <c r="BGR6" s="5"/>
      <c r="BGS6" s="5"/>
      <c r="BGT6" s="5"/>
      <c r="BGU6" s="5"/>
      <c r="BGV6" s="5"/>
      <c r="BGW6" s="5"/>
      <c r="BGX6" s="5"/>
      <c r="BGY6" s="5"/>
      <c r="BGZ6" s="5"/>
      <c r="BHA6" s="5"/>
      <c r="BHB6" s="5"/>
      <c r="BHC6" s="5"/>
      <c r="BHD6" s="5"/>
      <c r="BHE6" s="5"/>
      <c r="BHF6" s="5"/>
      <c r="BHG6" s="5"/>
      <c r="BHH6" s="5"/>
      <c r="BHI6" s="5"/>
      <c r="BHJ6" s="5"/>
      <c r="BHK6" s="5"/>
      <c r="BHL6" s="5"/>
      <c r="BHM6" s="5"/>
      <c r="BHN6" s="5"/>
      <c r="BHO6" s="5"/>
      <c r="BHP6" s="5"/>
      <c r="BHQ6" s="5"/>
      <c r="BHR6" s="5"/>
      <c r="BHS6" s="5"/>
      <c r="BHT6" s="5"/>
      <c r="BHU6" s="5"/>
      <c r="BHV6" s="5"/>
      <c r="BHW6" s="5"/>
      <c r="BHX6" s="5"/>
      <c r="BHY6" s="5"/>
      <c r="BHZ6" s="5"/>
      <c r="BIA6" s="5"/>
      <c r="BIB6" s="5"/>
      <c r="BIC6" s="5"/>
      <c r="BID6" s="5"/>
      <c r="BIE6" s="5"/>
      <c r="BIF6" s="5"/>
      <c r="BIG6" s="5"/>
      <c r="BIH6" s="5"/>
      <c r="BII6" s="5"/>
      <c r="BIJ6" s="5"/>
      <c r="BIK6" s="5"/>
      <c r="BIL6" s="5"/>
      <c r="BIM6" s="5"/>
      <c r="BIN6" s="5"/>
      <c r="BIO6" s="5"/>
      <c r="BIP6" s="5"/>
      <c r="BIQ6" s="5"/>
      <c r="BIR6" s="5"/>
      <c r="BIS6" s="5"/>
      <c r="BIT6" s="5"/>
      <c r="BIU6" s="5"/>
      <c r="BIV6" s="5"/>
      <c r="BIW6" s="5"/>
      <c r="BIX6" s="5"/>
      <c r="BIY6" s="5"/>
      <c r="BIZ6" s="5"/>
      <c r="BJA6" s="5"/>
      <c r="BJB6" s="5"/>
      <c r="BJC6" s="5"/>
      <c r="BJD6" s="5"/>
      <c r="BJE6" s="5"/>
      <c r="BJF6" s="5"/>
      <c r="BJG6" s="5"/>
      <c r="BJH6" s="5"/>
      <c r="BJI6" s="5"/>
      <c r="BJJ6" s="5"/>
      <c r="BJK6" s="5"/>
      <c r="BJL6" s="5"/>
      <c r="BJM6" s="5"/>
      <c r="BJN6" s="5"/>
      <c r="BJO6" s="5"/>
      <c r="BJP6" s="5"/>
      <c r="BJQ6" s="5"/>
      <c r="BJR6" s="5"/>
      <c r="BJS6" s="5"/>
      <c r="BJT6" s="5"/>
      <c r="BJU6" s="5"/>
      <c r="BJV6" s="5"/>
      <c r="BJW6" s="5"/>
      <c r="BJX6" s="5"/>
      <c r="BJY6" s="5"/>
      <c r="BJZ6" s="5"/>
      <c r="BKA6" s="5"/>
      <c r="BKB6" s="5"/>
      <c r="BKC6" s="5"/>
      <c r="BKD6" s="5"/>
      <c r="BKE6" s="5"/>
      <c r="BKF6" s="5"/>
      <c r="BKG6" s="5"/>
      <c r="BKH6" s="5"/>
      <c r="BKI6" s="5"/>
      <c r="BKJ6" s="5"/>
      <c r="BKK6" s="5"/>
      <c r="BKL6" s="5"/>
      <c r="BKM6" s="5"/>
      <c r="BKN6" s="5"/>
      <c r="BKO6" s="5"/>
      <c r="BKP6" s="5"/>
      <c r="BKQ6" s="5"/>
      <c r="BKR6" s="5"/>
      <c r="BKS6" s="5"/>
      <c r="BKT6" s="5"/>
      <c r="BKU6" s="5"/>
      <c r="BKV6" s="5"/>
      <c r="BKW6" s="5"/>
      <c r="BKX6" s="5"/>
      <c r="BKY6" s="5"/>
      <c r="BKZ6" s="5"/>
      <c r="BLA6" s="5"/>
      <c r="BLB6" s="5"/>
      <c r="BLC6" s="5"/>
      <c r="BLD6" s="5"/>
      <c r="BLE6" s="5"/>
      <c r="BLF6" s="5"/>
      <c r="BLG6" s="5"/>
      <c r="BLH6" s="5"/>
      <c r="BLI6" s="5"/>
      <c r="BLJ6" s="5"/>
      <c r="BLK6" s="5"/>
      <c r="BLL6" s="5"/>
      <c r="BLM6" s="5"/>
      <c r="BLN6" s="5"/>
      <c r="BLO6" s="5"/>
      <c r="BLP6" s="5"/>
      <c r="BLQ6" s="5"/>
      <c r="BLR6" s="5"/>
      <c r="BLS6" s="5"/>
      <c r="BLT6" s="5"/>
      <c r="BLU6" s="5"/>
      <c r="BLV6" s="5"/>
      <c r="BLW6" s="5"/>
      <c r="BLX6" s="5"/>
      <c r="BLY6" s="5"/>
      <c r="BLZ6" s="5"/>
      <c r="BMA6" s="5"/>
      <c r="BMB6" s="5"/>
      <c r="BMC6" s="5"/>
      <c r="BMD6" s="5"/>
      <c r="BME6" s="5"/>
      <c r="BMF6" s="5"/>
      <c r="BMG6" s="5"/>
      <c r="BMH6" s="5"/>
      <c r="BMI6" s="5"/>
      <c r="BMJ6" s="5"/>
      <c r="BMK6" s="5"/>
      <c r="BML6" s="5"/>
      <c r="BMM6" s="5"/>
      <c r="BMN6" s="5"/>
      <c r="BMO6" s="5"/>
      <c r="BMP6" s="5"/>
      <c r="BMQ6" s="5"/>
      <c r="BMR6" s="5"/>
      <c r="BMS6" s="5"/>
      <c r="BMT6" s="5"/>
      <c r="BMU6" s="5"/>
      <c r="BMV6" s="5"/>
      <c r="BMW6" s="5"/>
      <c r="BMX6" s="5"/>
      <c r="BMY6" s="5"/>
      <c r="BMZ6" s="5"/>
      <c r="BNA6" s="5"/>
      <c r="BNB6" s="5"/>
      <c r="BNC6" s="5"/>
      <c r="BND6" s="5"/>
      <c r="BNE6" s="5"/>
      <c r="BNF6" s="5"/>
      <c r="BNG6" s="5"/>
      <c r="BNH6" s="5"/>
      <c r="BNI6" s="5"/>
      <c r="BNJ6" s="5"/>
      <c r="BNK6" s="5"/>
      <c r="BNL6" s="5"/>
      <c r="BNM6" s="5"/>
      <c r="BNN6" s="5"/>
      <c r="BNO6" s="5"/>
      <c r="BNP6" s="5"/>
      <c r="BNQ6" s="5"/>
      <c r="BNR6" s="5"/>
      <c r="BNS6" s="5"/>
      <c r="BNT6" s="5"/>
      <c r="BNU6" s="5"/>
      <c r="BNV6" s="5"/>
      <c r="BNW6" s="5"/>
      <c r="BNX6" s="5"/>
      <c r="BNY6" s="5"/>
      <c r="BNZ6" s="5"/>
      <c r="BOA6" s="5"/>
      <c r="BOB6" s="5"/>
      <c r="BOC6" s="5"/>
      <c r="BOD6" s="5"/>
      <c r="BOE6" s="5"/>
      <c r="BOF6" s="5"/>
      <c r="BOG6" s="5"/>
      <c r="BOH6" s="5"/>
      <c r="BOI6" s="5"/>
      <c r="BOJ6" s="5"/>
      <c r="BOK6" s="5"/>
      <c r="BOL6" s="5"/>
      <c r="BOM6" s="5"/>
      <c r="BON6" s="5"/>
      <c r="BOO6" s="5"/>
      <c r="BOP6" s="5"/>
      <c r="BOQ6" s="5"/>
      <c r="BOR6" s="5"/>
      <c r="BOS6" s="5"/>
      <c r="BOT6" s="5"/>
      <c r="BOU6" s="5"/>
      <c r="BOV6" s="5"/>
      <c r="BOW6" s="5"/>
      <c r="BOX6" s="5"/>
      <c r="BOY6" s="5"/>
      <c r="BOZ6" s="5"/>
      <c r="BPA6" s="5"/>
      <c r="BPB6" s="5"/>
      <c r="BPC6" s="5"/>
      <c r="BPD6" s="5"/>
      <c r="BPE6" s="5"/>
      <c r="BPF6" s="5"/>
      <c r="BPG6" s="5"/>
      <c r="BPH6" s="5"/>
      <c r="BPI6" s="5"/>
      <c r="BPJ6" s="5"/>
      <c r="BPK6" s="5"/>
      <c r="BPL6" s="5"/>
      <c r="BPM6" s="5"/>
      <c r="BPN6" s="5"/>
      <c r="BPO6" s="5"/>
      <c r="BPP6" s="5"/>
      <c r="BPQ6" s="5"/>
      <c r="BPR6" s="5"/>
      <c r="BPS6" s="5"/>
      <c r="BPT6" s="5"/>
      <c r="BPU6" s="5"/>
      <c r="BPV6" s="5"/>
      <c r="BPW6" s="5"/>
      <c r="BPX6" s="5"/>
      <c r="BPY6" s="5"/>
      <c r="BPZ6" s="5"/>
      <c r="BQA6" s="5"/>
      <c r="BQB6" s="5"/>
      <c r="BQC6" s="5"/>
      <c r="BQD6" s="5"/>
      <c r="BQE6" s="5"/>
      <c r="BQF6" s="5"/>
      <c r="BQG6" s="5"/>
      <c r="BQH6" s="5"/>
      <c r="BQI6" s="5"/>
      <c r="BQJ6" s="5"/>
      <c r="BQK6" s="5"/>
      <c r="BQL6" s="5"/>
      <c r="BQM6" s="5"/>
      <c r="BQN6" s="5"/>
      <c r="BQO6" s="5"/>
      <c r="BQP6" s="5"/>
      <c r="BQQ6" s="5"/>
      <c r="BQR6" s="5"/>
      <c r="BQS6" s="5"/>
      <c r="BQT6" s="5"/>
      <c r="BQU6" s="5"/>
      <c r="BQV6" s="5"/>
      <c r="BQW6" s="5"/>
      <c r="BQX6" s="5"/>
      <c r="BQY6" s="5"/>
      <c r="BQZ6" s="5"/>
      <c r="BRA6" s="5"/>
      <c r="BRB6" s="5"/>
      <c r="BRC6" s="5"/>
      <c r="BRD6" s="5"/>
      <c r="BRE6" s="5"/>
      <c r="BRF6" s="5"/>
      <c r="BRG6" s="5"/>
      <c r="BRH6" s="5"/>
      <c r="BRI6" s="5"/>
      <c r="BRJ6" s="5"/>
      <c r="BRK6" s="5"/>
      <c r="BRL6" s="5"/>
      <c r="BRM6" s="5"/>
      <c r="BRN6" s="5"/>
      <c r="BRO6" s="5"/>
      <c r="BRP6" s="5"/>
      <c r="BRQ6" s="5"/>
      <c r="BRR6" s="5"/>
      <c r="BRS6" s="5"/>
      <c r="BRT6" s="5"/>
      <c r="BRU6" s="5"/>
      <c r="BRV6" s="5"/>
      <c r="BRW6" s="5"/>
      <c r="BRX6" s="5"/>
      <c r="BRY6" s="5"/>
      <c r="BRZ6" s="5"/>
      <c r="BSA6" s="5"/>
      <c r="BSB6" s="5"/>
    </row>
    <row r="7" spans="2:1848" x14ac:dyDescent="0.2">
      <c r="B7" s="4" t="s">
        <v>2</v>
      </c>
      <c r="C7" s="5">
        <v>971.79500000000007</v>
      </c>
      <c r="D7" s="5">
        <v>960.25599999999997</v>
      </c>
      <c r="E7" s="5">
        <v>944.87200000000007</v>
      </c>
      <c r="F7" s="5">
        <v>914.10300000000007</v>
      </c>
      <c r="G7" s="5">
        <v>883.33299999999997</v>
      </c>
      <c r="H7" s="5">
        <v>848.71799999999996</v>
      </c>
      <c r="I7" s="5">
        <v>798.71799999999996</v>
      </c>
      <c r="J7" s="5">
        <v>775.64099999999996</v>
      </c>
      <c r="K7" s="5">
        <v>744.87200000000007</v>
      </c>
      <c r="L7" s="5">
        <v>714.10300000000007</v>
      </c>
      <c r="M7" s="5">
        <v>664.10300000000007</v>
      </c>
      <c r="N7" s="5">
        <v>617.94899999999996</v>
      </c>
      <c r="O7" s="5">
        <v>571.79499999999996</v>
      </c>
      <c r="P7" s="5">
        <v>529.48700000000008</v>
      </c>
      <c r="Q7" s="5">
        <v>510.25599999999997</v>
      </c>
      <c r="R7" s="5">
        <v>510.25599999999997</v>
      </c>
      <c r="S7" s="5">
        <v>510.25599999999997</v>
      </c>
      <c r="T7" s="5">
        <v>514.10299999999995</v>
      </c>
      <c r="U7" s="5">
        <v>514.10299999999995</v>
      </c>
      <c r="V7" s="5">
        <v>529.48700000000008</v>
      </c>
      <c r="W7" s="5">
        <v>541.02600000000007</v>
      </c>
      <c r="X7" s="5">
        <v>552.56399999999996</v>
      </c>
      <c r="Y7" s="5">
        <v>556.41</v>
      </c>
      <c r="Z7" s="5">
        <v>560.25599999999997</v>
      </c>
      <c r="AA7" s="5">
        <v>579.48700000000008</v>
      </c>
      <c r="AB7" s="5">
        <v>621.79499999999996</v>
      </c>
      <c r="AC7" s="5">
        <v>664.10300000000007</v>
      </c>
      <c r="AD7" s="5">
        <v>691.02599999999995</v>
      </c>
      <c r="AE7" s="5">
        <v>552.56399999999996</v>
      </c>
      <c r="AF7" s="5">
        <v>498.71800000000002</v>
      </c>
      <c r="AG7" s="5">
        <v>460.25599999999997</v>
      </c>
      <c r="AH7" s="5">
        <v>383.33300000000003</v>
      </c>
      <c r="AI7" s="5">
        <v>421.79499999999996</v>
      </c>
      <c r="AJ7" s="5">
        <v>441.02600000000001</v>
      </c>
      <c r="AK7" s="5">
        <v>364.10300000000001</v>
      </c>
      <c r="AL7" s="5">
        <v>325.64100000000002</v>
      </c>
      <c r="AM7" s="5">
        <v>314.10300000000001</v>
      </c>
      <c r="AN7" s="5">
        <v>302.56399999999996</v>
      </c>
      <c r="AO7" s="5">
        <v>321.79499999999996</v>
      </c>
      <c r="AP7" s="5">
        <v>367.94899999999996</v>
      </c>
      <c r="AQ7" s="5">
        <v>414.10300000000001</v>
      </c>
      <c r="AR7" s="5">
        <v>456.40999999999997</v>
      </c>
      <c r="AS7" s="5">
        <v>491.02600000000001</v>
      </c>
      <c r="AT7" s="5">
        <v>360.25599999999997</v>
      </c>
      <c r="AU7" s="5">
        <v>321.79499999999996</v>
      </c>
      <c r="AV7" s="5">
        <v>291.02600000000001</v>
      </c>
      <c r="AW7" s="5">
        <v>267.94899999999996</v>
      </c>
      <c r="AX7" s="5">
        <v>252.56399999999999</v>
      </c>
      <c r="AY7" s="5">
        <v>252.56399999999999</v>
      </c>
      <c r="AZ7" s="5">
        <v>256.40999999999997</v>
      </c>
      <c r="BA7" s="5">
        <v>287.18</v>
      </c>
      <c r="BB7" s="5">
        <v>314.10300000000001</v>
      </c>
      <c r="BC7" s="5">
        <v>348.71800000000002</v>
      </c>
      <c r="BD7" s="5">
        <v>375.64100000000002</v>
      </c>
      <c r="BE7" s="5">
        <v>406.40999999999997</v>
      </c>
      <c r="BF7" s="5">
        <v>421.79499999999996</v>
      </c>
      <c r="BG7" s="5">
        <v>444.87200000000001</v>
      </c>
      <c r="BH7" s="5">
        <v>460.25599999999997</v>
      </c>
      <c r="BI7" s="5">
        <v>467.94899999999996</v>
      </c>
      <c r="BJ7" s="5">
        <v>479.48700000000002</v>
      </c>
      <c r="BK7" s="5">
        <v>537.18000000000006</v>
      </c>
      <c r="BL7" s="5">
        <v>606.41</v>
      </c>
      <c r="BM7" s="5">
        <v>644.87200000000007</v>
      </c>
      <c r="BN7" s="5">
        <v>694.87200000000007</v>
      </c>
      <c r="BO7" s="5">
        <v>798.71799999999996</v>
      </c>
      <c r="BP7" s="5">
        <v>841.02599999999995</v>
      </c>
      <c r="BQ7" s="5">
        <v>852.56399999999996</v>
      </c>
      <c r="BR7" s="5">
        <v>852.56399999999996</v>
      </c>
      <c r="BS7" s="5">
        <v>860.25599999999997</v>
      </c>
      <c r="BT7" s="5">
        <v>860.25599999999997</v>
      </c>
      <c r="BU7" s="5">
        <v>829.48700000000008</v>
      </c>
      <c r="BV7" s="5">
        <v>806.41000000000008</v>
      </c>
      <c r="BW7" s="5">
        <v>787.18000000000006</v>
      </c>
      <c r="BX7" s="5">
        <v>787.18000000000006</v>
      </c>
      <c r="BY7" s="5">
        <v>775.64099999999996</v>
      </c>
      <c r="BZ7" s="5">
        <v>598.71799999999996</v>
      </c>
      <c r="CA7" s="5">
        <v>621.79499999999996</v>
      </c>
      <c r="CB7" s="5">
        <v>625.64100000000008</v>
      </c>
      <c r="CC7" s="5">
        <v>994.87200000000007</v>
      </c>
      <c r="CD7" s="5">
        <v>991.02599999999995</v>
      </c>
      <c r="CE7" s="5">
        <v>975.64099999999996</v>
      </c>
      <c r="CF7" s="5">
        <v>941.02599999999995</v>
      </c>
      <c r="CG7" s="5">
        <v>910.25599999999997</v>
      </c>
      <c r="CH7" s="5">
        <v>864.10300000000007</v>
      </c>
      <c r="CI7" s="5">
        <v>833.33299999999997</v>
      </c>
      <c r="CJ7" s="5">
        <v>791.02599999999995</v>
      </c>
      <c r="CK7" s="5">
        <v>752.56399999999996</v>
      </c>
      <c r="CL7" s="5">
        <v>714.10300000000007</v>
      </c>
      <c r="CM7" s="5">
        <v>667.94899999999996</v>
      </c>
      <c r="CN7" s="5">
        <v>602.56399999999996</v>
      </c>
      <c r="CO7" s="5">
        <v>552.56399999999996</v>
      </c>
      <c r="CP7" s="5">
        <v>514.10299999999995</v>
      </c>
      <c r="CQ7" s="5">
        <v>475.64100000000002</v>
      </c>
      <c r="CR7" s="5">
        <v>460.25599999999997</v>
      </c>
      <c r="CS7" s="5">
        <v>425.64100000000002</v>
      </c>
      <c r="CT7" s="5">
        <v>398.71800000000002</v>
      </c>
      <c r="CU7" s="5">
        <v>367.94899999999996</v>
      </c>
      <c r="CV7" s="5">
        <v>337.18000000000006</v>
      </c>
      <c r="CW7" s="5">
        <v>406.40999999999997</v>
      </c>
      <c r="CX7" s="5">
        <v>383.33300000000003</v>
      </c>
      <c r="CY7" s="5">
        <v>337.18000000000006</v>
      </c>
      <c r="CZ7" s="5">
        <v>291.02600000000001</v>
      </c>
      <c r="DA7" s="5">
        <v>252.56399999999999</v>
      </c>
      <c r="DB7" s="5">
        <v>241.02599999999998</v>
      </c>
      <c r="DC7" s="5">
        <v>229.48699999999999</v>
      </c>
      <c r="DD7" s="5">
        <v>229.48699999999999</v>
      </c>
      <c r="DE7" s="5">
        <v>221.79500000000002</v>
      </c>
      <c r="DF7" s="5">
        <v>202.56399999999999</v>
      </c>
      <c r="DG7" s="5">
        <v>191.02599999999998</v>
      </c>
      <c r="DH7" s="5">
        <v>191.02599999999998</v>
      </c>
      <c r="DI7" s="5">
        <v>183.33300000000003</v>
      </c>
      <c r="DJ7" s="5">
        <v>183.33300000000003</v>
      </c>
      <c r="DK7" s="5">
        <v>183.33300000000003</v>
      </c>
      <c r="DL7" s="5">
        <v>175.64099999999999</v>
      </c>
      <c r="DM7" s="5">
        <v>160.256</v>
      </c>
      <c r="DN7" s="5">
        <v>137.18</v>
      </c>
      <c r="DO7" s="5">
        <v>148.71800000000002</v>
      </c>
      <c r="DP7" s="5">
        <v>148.71800000000002</v>
      </c>
      <c r="DQ7" s="5">
        <v>148.71800000000002</v>
      </c>
      <c r="DR7" s="5">
        <v>141.02600000000001</v>
      </c>
      <c r="DS7" s="5">
        <v>125.64099999999999</v>
      </c>
      <c r="DT7" s="5">
        <v>110.256</v>
      </c>
      <c r="DU7" s="5">
        <v>98.718000000000004</v>
      </c>
      <c r="DV7" s="5">
        <v>60.256</v>
      </c>
      <c r="DW7" s="5">
        <v>94.872</v>
      </c>
      <c r="DX7" s="5">
        <v>102.56399999999999</v>
      </c>
      <c r="DY7" s="5">
        <v>102.56399999999999</v>
      </c>
      <c r="DZ7" s="5">
        <v>106.41</v>
      </c>
      <c r="EA7" s="5">
        <v>106.41</v>
      </c>
      <c r="EB7" s="5">
        <v>106.41</v>
      </c>
      <c r="EC7" s="5">
        <v>106.41</v>
      </c>
      <c r="ED7" s="5">
        <v>106.41</v>
      </c>
      <c r="EE7" s="5">
        <v>106.41</v>
      </c>
      <c r="EF7" s="5">
        <v>87.18</v>
      </c>
      <c r="EG7" s="5">
        <v>52.564</v>
      </c>
      <c r="EH7" s="5">
        <v>29.487000000000002</v>
      </c>
      <c r="EI7" s="5">
        <v>257.69200000000001</v>
      </c>
      <c r="EJ7" s="5">
        <v>253.846</v>
      </c>
      <c r="EK7" s="5">
        <v>415.38499999999999</v>
      </c>
      <c r="EL7" s="5">
        <v>957.69200000000001</v>
      </c>
      <c r="EM7" s="5">
        <v>950</v>
      </c>
      <c r="EN7" s="5">
        <v>926.923</v>
      </c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  <c r="ALV7" s="5"/>
      <c r="ALW7" s="5"/>
      <c r="ALX7" s="5"/>
      <c r="ALY7" s="5"/>
      <c r="ALZ7" s="5"/>
      <c r="AMA7" s="5"/>
      <c r="AMB7" s="5"/>
      <c r="AMC7" s="5"/>
      <c r="AMD7" s="5"/>
      <c r="AME7" s="5"/>
      <c r="AMF7" s="5"/>
      <c r="AMG7" s="5"/>
      <c r="AMH7" s="5"/>
      <c r="AMI7" s="5"/>
      <c r="AMJ7" s="5"/>
      <c r="AMK7" s="5"/>
      <c r="AML7" s="5"/>
      <c r="AMM7" s="5"/>
      <c r="AMN7" s="5"/>
      <c r="AMO7" s="5"/>
      <c r="AMP7" s="5"/>
      <c r="AMQ7" s="5"/>
      <c r="AMR7" s="5"/>
      <c r="AMS7" s="5"/>
      <c r="AMT7" s="5"/>
      <c r="AMU7" s="5"/>
      <c r="AMV7" s="5"/>
      <c r="AMW7" s="5"/>
      <c r="AMX7" s="5"/>
      <c r="AMY7" s="5"/>
      <c r="AMZ7" s="5"/>
      <c r="ANA7" s="5"/>
      <c r="ANB7" s="5"/>
      <c r="ANC7" s="5"/>
      <c r="AND7" s="5"/>
      <c r="ANE7" s="5"/>
      <c r="ANF7" s="5"/>
      <c r="ANG7" s="5"/>
      <c r="ANH7" s="5"/>
      <c r="ANI7" s="5"/>
      <c r="ANJ7" s="5"/>
      <c r="ANK7" s="5"/>
      <c r="ANL7" s="5"/>
      <c r="ANM7" s="5"/>
      <c r="ANN7" s="5"/>
      <c r="ANO7" s="5"/>
      <c r="ANP7" s="5"/>
      <c r="ANQ7" s="5"/>
      <c r="ANR7" s="5"/>
      <c r="ANS7" s="5"/>
      <c r="ANT7" s="5"/>
      <c r="ANU7" s="5"/>
      <c r="ANV7" s="5"/>
      <c r="ANW7" s="5"/>
      <c r="ANX7" s="5"/>
      <c r="ANY7" s="5"/>
      <c r="ANZ7" s="5"/>
      <c r="AOA7" s="5"/>
      <c r="AOB7" s="5"/>
      <c r="AOC7" s="5"/>
      <c r="AOD7" s="5"/>
      <c r="AOE7" s="5"/>
      <c r="AOF7" s="5"/>
      <c r="AOG7" s="5"/>
      <c r="AOH7" s="5"/>
      <c r="AOI7" s="5"/>
      <c r="AOJ7" s="5"/>
      <c r="AOK7" s="5"/>
      <c r="AOL7" s="5"/>
      <c r="AOM7" s="5"/>
      <c r="AON7" s="5"/>
      <c r="AOO7" s="5"/>
      <c r="AOP7" s="5"/>
      <c r="AOQ7" s="5"/>
      <c r="AOR7" s="5"/>
      <c r="AOS7" s="5"/>
      <c r="AOT7" s="5"/>
      <c r="AOU7" s="5"/>
      <c r="AOV7" s="5"/>
      <c r="AOW7" s="5"/>
      <c r="AOX7" s="5"/>
      <c r="AOY7" s="5"/>
      <c r="AOZ7" s="5"/>
      <c r="APA7" s="5"/>
      <c r="APB7" s="5"/>
      <c r="APC7" s="5"/>
      <c r="APD7" s="5"/>
      <c r="APE7" s="5"/>
      <c r="APF7" s="5"/>
      <c r="APG7" s="5"/>
      <c r="APH7" s="5"/>
      <c r="API7" s="5"/>
      <c r="APJ7" s="5"/>
      <c r="APK7" s="5"/>
      <c r="APL7" s="5"/>
      <c r="APM7" s="5"/>
      <c r="APN7" s="5"/>
      <c r="APO7" s="5"/>
      <c r="APP7" s="5"/>
      <c r="APQ7" s="5"/>
      <c r="APR7" s="5"/>
      <c r="APS7" s="5"/>
      <c r="APT7" s="5"/>
      <c r="APU7" s="5"/>
      <c r="APV7" s="5"/>
      <c r="APW7" s="5"/>
      <c r="APX7" s="5"/>
      <c r="APY7" s="5"/>
      <c r="APZ7" s="5"/>
      <c r="AQA7" s="5"/>
      <c r="AQB7" s="5"/>
      <c r="AQC7" s="5"/>
      <c r="AQD7" s="5"/>
      <c r="AQE7" s="5"/>
      <c r="AQF7" s="5"/>
      <c r="AQG7" s="5"/>
      <c r="AQH7" s="5"/>
      <c r="AQI7" s="5"/>
      <c r="AQJ7" s="5"/>
      <c r="AQK7" s="5"/>
      <c r="AQL7" s="5"/>
      <c r="AQM7" s="5"/>
      <c r="AQN7" s="5"/>
      <c r="AQO7" s="5"/>
      <c r="AQP7" s="5"/>
      <c r="AQQ7" s="5"/>
      <c r="AQR7" s="5"/>
      <c r="AQS7" s="5"/>
      <c r="AQT7" s="5"/>
      <c r="AQU7" s="5"/>
      <c r="AQV7" s="5"/>
      <c r="AQW7" s="5"/>
      <c r="AQX7" s="5"/>
      <c r="AQY7" s="5"/>
      <c r="AQZ7" s="5"/>
      <c r="ARA7" s="5"/>
      <c r="ARB7" s="5"/>
      <c r="ARC7" s="5"/>
      <c r="ARD7" s="5"/>
      <c r="ARE7" s="5"/>
      <c r="ARF7" s="5"/>
      <c r="ARG7" s="5"/>
      <c r="ARH7" s="5"/>
      <c r="ARI7" s="5"/>
      <c r="ARJ7" s="5"/>
      <c r="ARK7" s="5"/>
      <c r="ARL7" s="5"/>
      <c r="ARM7" s="5"/>
      <c r="ARN7" s="5"/>
      <c r="ARO7" s="5"/>
      <c r="ARP7" s="5"/>
      <c r="ARQ7" s="5"/>
      <c r="ARR7" s="5"/>
      <c r="ARS7" s="5"/>
      <c r="ART7" s="5"/>
      <c r="ARU7" s="5"/>
      <c r="ARV7" s="5"/>
      <c r="ARW7" s="5"/>
      <c r="ARX7" s="5"/>
      <c r="ARY7" s="5"/>
      <c r="ARZ7" s="5"/>
      <c r="ASA7" s="5"/>
      <c r="ASB7" s="5"/>
      <c r="ASC7" s="5"/>
      <c r="ASD7" s="5"/>
      <c r="ASE7" s="5"/>
      <c r="ASF7" s="5"/>
      <c r="ASG7" s="5"/>
      <c r="ASH7" s="5"/>
      <c r="ASI7" s="5"/>
      <c r="ASJ7" s="5"/>
      <c r="ASK7" s="5"/>
      <c r="ASL7" s="5"/>
      <c r="ASM7" s="5"/>
      <c r="ASN7" s="5"/>
      <c r="ASO7" s="5"/>
      <c r="ASP7" s="5"/>
      <c r="ASQ7" s="5"/>
      <c r="ASR7" s="5"/>
      <c r="ASS7" s="5"/>
      <c r="AST7" s="5"/>
      <c r="ASU7" s="5"/>
      <c r="ASV7" s="5"/>
      <c r="ASW7" s="5"/>
      <c r="ASX7" s="5"/>
      <c r="ASY7" s="5"/>
      <c r="ASZ7" s="5"/>
      <c r="ATA7" s="5"/>
      <c r="ATB7" s="5"/>
      <c r="ATC7" s="5"/>
      <c r="ATD7" s="5"/>
      <c r="ATE7" s="5"/>
      <c r="ATF7" s="5"/>
      <c r="ATG7" s="5"/>
      <c r="ATH7" s="5"/>
      <c r="ATI7" s="5"/>
      <c r="ATJ7" s="5"/>
      <c r="ATK7" s="5"/>
      <c r="ATL7" s="5"/>
      <c r="ATM7" s="5"/>
      <c r="ATN7" s="5"/>
      <c r="ATO7" s="5"/>
      <c r="ATP7" s="5"/>
      <c r="ATQ7" s="5"/>
      <c r="ATR7" s="5"/>
      <c r="ATS7" s="5"/>
      <c r="ATT7" s="5"/>
      <c r="ATU7" s="5"/>
      <c r="ATV7" s="5"/>
      <c r="ATW7" s="5"/>
      <c r="ATX7" s="5"/>
      <c r="ATY7" s="5"/>
      <c r="ATZ7" s="5"/>
      <c r="AUA7" s="5"/>
      <c r="AUB7" s="5"/>
      <c r="AUC7" s="5"/>
      <c r="AUD7" s="5"/>
      <c r="AUE7" s="5"/>
      <c r="AUF7" s="5"/>
      <c r="AUG7" s="5"/>
      <c r="AUH7" s="5"/>
      <c r="AUI7" s="5"/>
      <c r="AUJ7" s="5"/>
      <c r="AUK7" s="5"/>
      <c r="AUL7" s="5"/>
      <c r="AUM7" s="5"/>
      <c r="AUN7" s="5"/>
      <c r="AUO7" s="5"/>
      <c r="AUP7" s="5"/>
      <c r="AUQ7" s="5"/>
      <c r="AUR7" s="5"/>
      <c r="AUS7" s="5"/>
      <c r="AUT7" s="5"/>
      <c r="AUU7" s="5"/>
      <c r="AUV7" s="5"/>
      <c r="AUW7" s="5"/>
      <c r="AUX7" s="5"/>
      <c r="AUY7" s="5"/>
      <c r="AUZ7" s="5"/>
      <c r="AVA7" s="5"/>
      <c r="AVB7" s="5"/>
      <c r="AVC7" s="5"/>
      <c r="AVD7" s="5"/>
      <c r="AVE7" s="5"/>
      <c r="AVF7" s="5"/>
      <c r="AVG7" s="5"/>
      <c r="AVH7" s="5"/>
      <c r="AVI7" s="5"/>
      <c r="AVJ7" s="5"/>
      <c r="AVK7" s="5"/>
      <c r="AVL7" s="5"/>
      <c r="AVM7" s="5"/>
      <c r="AVN7" s="5"/>
      <c r="AVO7" s="5"/>
      <c r="AVP7" s="5"/>
      <c r="AVQ7" s="5"/>
      <c r="AVR7" s="5"/>
      <c r="AVS7" s="5"/>
      <c r="AVT7" s="5"/>
      <c r="AVU7" s="5"/>
      <c r="AVV7" s="5"/>
      <c r="AVW7" s="5"/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  <c r="AWY7" s="5"/>
      <c r="AWZ7" s="5"/>
      <c r="AXA7" s="5"/>
      <c r="AXB7" s="5"/>
      <c r="AXC7" s="5"/>
      <c r="AXD7" s="5"/>
      <c r="AXE7" s="5"/>
      <c r="AXF7" s="5"/>
      <c r="AXG7" s="5"/>
      <c r="AXH7" s="5"/>
      <c r="AXI7" s="5"/>
      <c r="AXJ7" s="5"/>
      <c r="AXK7" s="5"/>
      <c r="AXL7" s="5"/>
      <c r="AXM7" s="5"/>
      <c r="AXN7" s="5"/>
      <c r="AXO7" s="5"/>
      <c r="AXP7" s="5"/>
      <c r="AXQ7" s="5"/>
      <c r="AXR7" s="5"/>
      <c r="AXS7" s="5"/>
      <c r="AXT7" s="5"/>
      <c r="AXU7" s="5"/>
      <c r="AXV7" s="5"/>
      <c r="AXW7" s="5"/>
      <c r="AXX7" s="5"/>
      <c r="AXY7" s="5"/>
      <c r="AXZ7" s="5"/>
      <c r="AYA7" s="5"/>
      <c r="AYB7" s="5"/>
      <c r="AYC7" s="5"/>
      <c r="AYD7" s="5"/>
      <c r="AYE7" s="5"/>
      <c r="AYF7" s="5"/>
      <c r="AYG7" s="5"/>
      <c r="AYH7" s="5"/>
      <c r="AYI7" s="5"/>
      <c r="AYJ7" s="5"/>
      <c r="AYK7" s="5"/>
      <c r="AYL7" s="5"/>
      <c r="AYM7" s="5"/>
      <c r="AYN7" s="5"/>
      <c r="AYO7" s="5"/>
      <c r="AYP7" s="5"/>
      <c r="AYQ7" s="5"/>
      <c r="AYR7" s="5"/>
      <c r="AYS7" s="5"/>
      <c r="AYT7" s="5"/>
      <c r="AYU7" s="5"/>
      <c r="AYV7" s="5"/>
      <c r="AYW7" s="5"/>
      <c r="AYX7" s="5"/>
      <c r="AYY7" s="5"/>
      <c r="AYZ7" s="5"/>
      <c r="AZA7" s="5"/>
      <c r="AZB7" s="5"/>
      <c r="AZC7" s="5"/>
      <c r="AZD7" s="5"/>
      <c r="AZE7" s="5"/>
      <c r="AZF7" s="5"/>
      <c r="AZG7" s="5"/>
      <c r="AZH7" s="5"/>
      <c r="AZI7" s="5"/>
      <c r="AZJ7" s="5"/>
      <c r="AZK7" s="5"/>
      <c r="AZL7" s="5"/>
      <c r="AZM7" s="5"/>
      <c r="AZN7" s="5"/>
      <c r="AZO7" s="5"/>
      <c r="AZP7" s="5"/>
      <c r="AZQ7" s="5"/>
      <c r="AZR7" s="5"/>
      <c r="AZS7" s="5"/>
      <c r="AZT7" s="5"/>
      <c r="AZU7" s="5"/>
      <c r="AZV7" s="5"/>
      <c r="AZW7" s="5"/>
      <c r="AZX7" s="5"/>
      <c r="AZY7" s="5"/>
      <c r="AZZ7" s="5"/>
      <c r="BAA7" s="5"/>
      <c r="BAB7" s="5"/>
      <c r="BAC7" s="5"/>
      <c r="BAD7" s="5"/>
      <c r="BAE7" s="5"/>
      <c r="BAF7" s="5"/>
      <c r="BAG7" s="5"/>
      <c r="BAH7" s="5"/>
      <c r="BAI7" s="5"/>
      <c r="BAJ7" s="5"/>
      <c r="BAK7" s="5"/>
      <c r="BAL7" s="5"/>
      <c r="BAM7" s="5"/>
      <c r="BAN7" s="5"/>
      <c r="BAO7" s="5"/>
      <c r="BAP7" s="5"/>
      <c r="BAQ7" s="5"/>
      <c r="BAR7" s="5"/>
      <c r="BAS7" s="5"/>
      <c r="BAT7" s="5"/>
      <c r="BAU7" s="5"/>
      <c r="BAV7" s="5"/>
      <c r="BAW7" s="5"/>
      <c r="BAX7" s="5"/>
      <c r="BAY7" s="5"/>
      <c r="BAZ7" s="5"/>
      <c r="BBA7" s="5"/>
      <c r="BBB7" s="5"/>
      <c r="BBC7" s="5"/>
      <c r="BBD7" s="5"/>
      <c r="BBE7" s="5"/>
      <c r="BBF7" s="5"/>
      <c r="BBG7" s="5"/>
      <c r="BBH7" s="5"/>
      <c r="BBI7" s="5"/>
      <c r="BBJ7" s="5"/>
      <c r="BBK7" s="5"/>
      <c r="BBL7" s="5"/>
      <c r="BBM7" s="5"/>
      <c r="BBN7" s="5"/>
      <c r="BBO7" s="5"/>
      <c r="BBP7" s="5"/>
      <c r="BBQ7" s="5"/>
      <c r="BBR7" s="5"/>
      <c r="BBS7" s="5"/>
      <c r="BBT7" s="5"/>
      <c r="BBU7" s="5"/>
      <c r="BBV7" s="5"/>
      <c r="BBW7" s="5"/>
      <c r="BBX7" s="5"/>
      <c r="BBY7" s="5"/>
      <c r="BBZ7" s="5"/>
      <c r="BCA7" s="5"/>
      <c r="BCB7" s="5"/>
      <c r="BCC7" s="5"/>
      <c r="BCD7" s="5"/>
      <c r="BCE7" s="5"/>
      <c r="BCF7" s="5"/>
      <c r="BCG7" s="5"/>
      <c r="BCH7" s="5"/>
      <c r="BCI7" s="5"/>
      <c r="BCJ7" s="5"/>
      <c r="BCK7" s="5"/>
      <c r="BCL7" s="5"/>
      <c r="BCM7" s="5"/>
      <c r="BCN7" s="5"/>
      <c r="BCO7" s="5"/>
      <c r="BCP7" s="5"/>
      <c r="BCQ7" s="5"/>
      <c r="BCR7" s="5"/>
      <c r="BCS7" s="5"/>
      <c r="BCT7" s="5"/>
      <c r="BCU7" s="5"/>
      <c r="BCV7" s="5"/>
      <c r="BCW7" s="5"/>
      <c r="BCX7" s="5"/>
      <c r="BCY7" s="5"/>
      <c r="BCZ7" s="5"/>
      <c r="BDA7" s="5"/>
      <c r="BDB7" s="5"/>
      <c r="BDC7" s="5"/>
      <c r="BDD7" s="5"/>
      <c r="BDE7" s="5"/>
      <c r="BDF7" s="5"/>
      <c r="BDG7" s="5"/>
      <c r="BDH7" s="5"/>
      <c r="BDI7" s="5"/>
      <c r="BDJ7" s="5"/>
      <c r="BDK7" s="5"/>
      <c r="BDL7" s="5"/>
      <c r="BDM7" s="5"/>
      <c r="BDN7" s="5"/>
      <c r="BDO7" s="5"/>
      <c r="BDP7" s="5"/>
      <c r="BDQ7" s="5"/>
      <c r="BDR7" s="5"/>
      <c r="BDS7" s="5"/>
      <c r="BDT7" s="5"/>
      <c r="BDU7" s="5"/>
      <c r="BDV7" s="5"/>
      <c r="BDW7" s="5"/>
      <c r="BDX7" s="5"/>
      <c r="BDY7" s="5"/>
      <c r="BDZ7" s="5"/>
      <c r="BEA7" s="5"/>
      <c r="BEB7" s="5"/>
      <c r="BEC7" s="5"/>
      <c r="BED7" s="5"/>
      <c r="BEE7" s="5"/>
      <c r="BEF7" s="5"/>
      <c r="BEG7" s="5"/>
      <c r="BEH7" s="5"/>
      <c r="BEI7" s="5"/>
      <c r="BEJ7" s="5"/>
      <c r="BEK7" s="5"/>
      <c r="BEL7" s="5"/>
      <c r="BEM7" s="5"/>
      <c r="BEN7" s="5"/>
      <c r="BEO7" s="5"/>
      <c r="BEP7" s="5"/>
      <c r="BEQ7" s="5"/>
      <c r="BER7" s="5"/>
      <c r="BES7" s="5"/>
      <c r="BET7" s="5"/>
      <c r="BEU7" s="5"/>
      <c r="BEV7" s="5"/>
      <c r="BEW7" s="5"/>
      <c r="BEX7" s="5"/>
      <c r="BEY7" s="5"/>
      <c r="BEZ7" s="5"/>
      <c r="BFA7" s="5"/>
      <c r="BFB7" s="5"/>
      <c r="BFC7" s="5"/>
      <c r="BFD7" s="5"/>
      <c r="BFE7" s="5"/>
      <c r="BFF7" s="5"/>
      <c r="BFG7" s="5"/>
      <c r="BFH7" s="5"/>
      <c r="BFI7" s="5"/>
      <c r="BFJ7" s="5"/>
      <c r="BFK7" s="5"/>
      <c r="BFL7" s="5"/>
      <c r="BFM7" s="5"/>
      <c r="BFN7" s="5"/>
      <c r="BFO7" s="5"/>
      <c r="BFP7" s="5"/>
      <c r="BFQ7" s="5"/>
      <c r="BFR7" s="5"/>
      <c r="BFS7" s="5"/>
      <c r="BFT7" s="5"/>
      <c r="BFU7" s="5"/>
      <c r="BFV7" s="5"/>
      <c r="BFW7" s="5"/>
      <c r="BFX7" s="5"/>
      <c r="BFY7" s="5"/>
      <c r="BFZ7" s="5"/>
      <c r="BGA7" s="5"/>
      <c r="BGB7" s="5"/>
      <c r="BGC7" s="5"/>
      <c r="BGD7" s="5"/>
      <c r="BGE7" s="5"/>
      <c r="BGF7" s="5"/>
      <c r="BGG7" s="5"/>
      <c r="BGH7" s="5"/>
      <c r="BGI7" s="5"/>
      <c r="BGJ7" s="5"/>
      <c r="BGK7" s="5"/>
      <c r="BGL7" s="5"/>
      <c r="BGM7" s="5"/>
      <c r="BGN7" s="5"/>
      <c r="BGO7" s="5"/>
      <c r="BGP7" s="5"/>
      <c r="BGQ7" s="5"/>
      <c r="BGR7" s="5"/>
      <c r="BGS7" s="5"/>
      <c r="BGT7" s="5"/>
      <c r="BGU7" s="5"/>
      <c r="BGV7" s="5"/>
      <c r="BGW7" s="5"/>
      <c r="BGX7" s="5"/>
      <c r="BGY7" s="5"/>
      <c r="BGZ7" s="5"/>
      <c r="BHA7" s="5"/>
      <c r="BHB7" s="5"/>
      <c r="BHC7" s="5"/>
      <c r="BHD7" s="5"/>
      <c r="BHE7" s="5"/>
      <c r="BHF7" s="5"/>
      <c r="BHG7" s="5"/>
      <c r="BHH7" s="5"/>
      <c r="BHI7" s="5"/>
      <c r="BHJ7" s="5"/>
      <c r="BHK7" s="5"/>
      <c r="BHL7" s="5"/>
      <c r="BHM7" s="5"/>
      <c r="BHN7" s="5"/>
      <c r="BHO7" s="5"/>
      <c r="BHP7" s="5"/>
      <c r="BHQ7" s="5"/>
      <c r="BHR7" s="5"/>
      <c r="BHS7" s="5"/>
      <c r="BHT7" s="5"/>
      <c r="BHU7" s="5"/>
      <c r="BHV7" s="5"/>
      <c r="BHW7" s="5"/>
      <c r="BHX7" s="5"/>
      <c r="BHY7" s="5"/>
      <c r="BHZ7" s="5"/>
      <c r="BIA7" s="5"/>
      <c r="BIB7" s="5"/>
      <c r="BIC7" s="5"/>
      <c r="BID7" s="5"/>
      <c r="BIE7" s="5"/>
      <c r="BIF7" s="5"/>
      <c r="BIG7" s="5"/>
      <c r="BIH7" s="5"/>
      <c r="BII7" s="5"/>
      <c r="BIJ7" s="5"/>
      <c r="BIK7" s="5"/>
      <c r="BIL7" s="5"/>
      <c r="BIM7" s="5"/>
      <c r="BIN7" s="5"/>
      <c r="BIO7" s="5"/>
      <c r="BIP7" s="5"/>
      <c r="BIQ7" s="5"/>
      <c r="BIR7" s="5"/>
      <c r="BIS7" s="5"/>
      <c r="BIT7" s="5"/>
      <c r="BIU7" s="5"/>
      <c r="BIV7" s="5"/>
      <c r="BIW7" s="5"/>
      <c r="BIX7" s="5"/>
      <c r="BIY7" s="5"/>
      <c r="BIZ7" s="5"/>
      <c r="BJA7" s="5"/>
      <c r="BJB7" s="5"/>
      <c r="BJC7" s="5"/>
      <c r="BJD7" s="5"/>
      <c r="BJE7" s="5"/>
      <c r="BJF7" s="5"/>
      <c r="BJG7" s="5"/>
      <c r="BJH7" s="5"/>
      <c r="BJI7" s="5"/>
      <c r="BJJ7" s="5"/>
      <c r="BJK7" s="5"/>
      <c r="BJL7" s="5"/>
      <c r="BJM7" s="5"/>
      <c r="BJN7" s="5"/>
      <c r="BJO7" s="5"/>
      <c r="BJP7" s="5"/>
      <c r="BJQ7" s="5"/>
      <c r="BJR7" s="5"/>
      <c r="BJS7" s="5"/>
      <c r="BJT7" s="5"/>
      <c r="BJU7" s="5"/>
      <c r="BJV7" s="5"/>
      <c r="BJW7" s="5"/>
      <c r="BJX7" s="5"/>
      <c r="BJY7" s="5"/>
      <c r="BJZ7" s="5"/>
      <c r="BKA7" s="5"/>
      <c r="BKB7" s="5"/>
      <c r="BKC7" s="5"/>
      <c r="BKD7" s="5"/>
      <c r="BKE7" s="5"/>
      <c r="BKF7" s="5"/>
      <c r="BKG7" s="5"/>
      <c r="BKH7" s="5"/>
      <c r="BKI7" s="5"/>
      <c r="BKJ7" s="5"/>
      <c r="BKK7" s="5"/>
      <c r="BKL7" s="5"/>
      <c r="BKM7" s="5"/>
      <c r="BKN7" s="5"/>
      <c r="BKO7" s="5"/>
      <c r="BKP7" s="5"/>
      <c r="BKQ7" s="5"/>
      <c r="BKR7" s="5"/>
      <c r="BKS7" s="5"/>
      <c r="BKT7" s="5"/>
      <c r="BKU7" s="5"/>
      <c r="BKV7" s="5"/>
      <c r="BKW7" s="5"/>
      <c r="BKX7" s="5"/>
      <c r="BKY7" s="5"/>
      <c r="BKZ7" s="5"/>
      <c r="BLA7" s="5"/>
      <c r="BLB7" s="5"/>
      <c r="BLC7" s="5"/>
      <c r="BLD7" s="5"/>
      <c r="BLE7" s="5"/>
      <c r="BLF7" s="5"/>
      <c r="BLG7" s="5"/>
      <c r="BLH7" s="5"/>
      <c r="BLI7" s="5"/>
      <c r="BLJ7" s="5"/>
      <c r="BLK7" s="5"/>
      <c r="BLL7" s="5"/>
      <c r="BLM7" s="5"/>
      <c r="BLN7" s="5"/>
      <c r="BLO7" s="5"/>
      <c r="BLP7" s="5"/>
      <c r="BLQ7" s="5"/>
      <c r="BLR7" s="5"/>
      <c r="BLS7" s="5"/>
      <c r="BLT7" s="5"/>
      <c r="BLU7" s="5"/>
      <c r="BLV7" s="5"/>
      <c r="BLW7" s="5"/>
      <c r="BLX7" s="5"/>
      <c r="BLY7" s="5"/>
      <c r="BLZ7" s="5"/>
      <c r="BMA7" s="5"/>
      <c r="BMB7" s="5"/>
      <c r="BMC7" s="5"/>
      <c r="BMD7" s="5"/>
      <c r="BME7" s="5"/>
      <c r="BMF7" s="5"/>
      <c r="BMG7" s="5"/>
      <c r="BMH7" s="5"/>
      <c r="BMI7" s="5"/>
      <c r="BMJ7" s="5"/>
      <c r="BMK7" s="5"/>
      <c r="BML7" s="5"/>
      <c r="BMM7" s="5"/>
      <c r="BMN7" s="5"/>
      <c r="BMO7" s="5"/>
      <c r="BMP7" s="5"/>
      <c r="BMQ7" s="5"/>
      <c r="BMR7" s="5"/>
      <c r="BMS7" s="5"/>
      <c r="BMT7" s="5"/>
      <c r="BMU7" s="5"/>
      <c r="BMV7" s="5"/>
      <c r="BMW7" s="5"/>
      <c r="BMX7" s="5"/>
      <c r="BMY7" s="5"/>
      <c r="BMZ7" s="5"/>
      <c r="BNA7" s="5"/>
      <c r="BNB7" s="5"/>
      <c r="BNC7" s="5"/>
      <c r="BND7" s="5"/>
      <c r="BNE7" s="5"/>
      <c r="BNF7" s="5"/>
      <c r="BNG7" s="5"/>
      <c r="BNH7" s="5"/>
      <c r="BNI7" s="5"/>
      <c r="BNJ7" s="5"/>
      <c r="BNK7" s="5"/>
      <c r="BNL7" s="5"/>
      <c r="BNM7" s="5"/>
      <c r="BNN7" s="5"/>
      <c r="BNO7" s="5"/>
      <c r="BNP7" s="5"/>
      <c r="BNQ7" s="5"/>
      <c r="BNR7" s="5"/>
      <c r="BNS7" s="5"/>
      <c r="BNT7" s="5"/>
      <c r="BNU7" s="5"/>
      <c r="BNV7" s="5"/>
      <c r="BNW7" s="5"/>
      <c r="BNX7" s="5"/>
      <c r="BNY7" s="5"/>
      <c r="BNZ7" s="5"/>
      <c r="BOA7" s="5"/>
      <c r="BOB7" s="5"/>
      <c r="BOC7" s="5"/>
      <c r="BOD7" s="5"/>
      <c r="BOE7" s="5"/>
      <c r="BOF7" s="5"/>
      <c r="BOG7" s="5"/>
      <c r="BOH7" s="5"/>
      <c r="BOI7" s="5"/>
      <c r="BOJ7" s="5"/>
      <c r="BOK7" s="5"/>
      <c r="BOL7" s="5"/>
      <c r="BOM7" s="5"/>
      <c r="BON7" s="5"/>
      <c r="BOO7" s="5"/>
      <c r="BOP7" s="5"/>
      <c r="BOQ7" s="5"/>
      <c r="BOR7" s="5"/>
      <c r="BOS7" s="5"/>
      <c r="BOT7" s="5"/>
      <c r="BOU7" s="5"/>
      <c r="BOV7" s="5"/>
      <c r="BOW7" s="5"/>
      <c r="BOX7" s="5"/>
      <c r="BOY7" s="5"/>
      <c r="BOZ7" s="5"/>
      <c r="BPA7" s="5"/>
      <c r="BPB7" s="5"/>
      <c r="BPC7" s="5"/>
      <c r="BPD7" s="5"/>
      <c r="BPE7" s="5"/>
      <c r="BPF7" s="5"/>
      <c r="BPG7" s="5"/>
      <c r="BPH7" s="5"/>
      <c r="BPI7" s="5"/>
      <c r="BPJ7" s="5"/>
      <c r="BPK7" s="5"/>
      <c r="BPL7" s="5"/>
      <c r="BPM7" s="5"/>
      <c r="BPN7" s="5"/>
      <c r="BPO7" s="5"/>
      <c r="BPP7" s="5"/>
      <c r="BPQ7" s="5"/>
      <c r="BPR7" s="5"/>
      <c r="BPS7" s="5"/>
      <c r="BPT7" s="5"/>
      <c r="BPU7" s="5"/>
      <c r="BPV7" s="5"/>
      <c r="BPW7" s="5"/>
      <c r="BPX7" s="5"/>
      <c r="BPY7" s="5"/>
      <c r="BPZ7" s="5"/>
      <c r="BQA7" s="5"/>
      <c r="BQB7" s="5"/>
      <c r="BQC7" s="5"/>
      <c r="BQD7" s="5"/>
      <c r="BQE7" s="5"/>
      <c r="BQF7" s="5"/>
      <c r="BQG7" s="5"/>
      <c r="BQH7" s="5"/>
      <c r="BQI7" s="5"/>
      <c r="BQJ7" s="5"/>
      <c r="BQK7" s="5"/>
      <c r="BQL7" s="5"/>
      <c r="BQM7" s="5"/>
      <c r="BQN7" s="5"/>
      <c r="BQO7" s="5"/>
      <c r="BQP7" s="5"/>
      <c r="BQQ7" s="5"/>
      <c r="BQR7" s="5"/>
      <c r="BQS7" s="5"/>
      <c r="BQT7" s="5"/>
      <c r="BQU7" s="5"/>
      <c r="BQV7" s="5"/>
      <c r="BQW7" s="5"/>
      <c r="BQX7" s="5"/>
      <c r="BQY7" s="5"/>
      <c r="BQZ7" s="5"/>
      <c r="BRA7" s="5"/>
      <c r="BRB7" s="5"/>
      <c r="BRC7" s="5"/>
      <c r="BRD7" s="5"/>
      <c r="BRE7" s="5"/>
      <c r="BRF7" s="5"/>
      <c r="BRG7" s="5"/>
      <c r="BRH7" s="5"/>
      <c r="BRI7" s="5"/>
      <c r="BRJ7" s="5"/>
      <c r="BRK7" s="5"/>
      <c r="BRL7" s="5"/>
      <c r="BRM7" s="5"/>
      <c r="BRN7" s="5"/>
      <c r="BRO7" s="5"/>
      <c r="BRP7" s="5"/>
      <c r="BRQ7" s="5"/>
      <c r="BRR7" s="5"/>
      <c r="BRS7" s="5"/>
      <c r="BRT7" s="5"/>
      <c r="BRU7" s="5"/>
      <c r="BRV7" s="5"/>
      <c r="BRW7" s="5"/>
      <c r="BRX7" s="5"/>
      <c r="BRY7" s="5"/>
      <c r="BRZ7" s="5"/>
      <c r="BSA7" s="5"/>
      <c r="BSB7" s="5"/>
    </row>
    <row r="11" spans="2:1848" x14ac:dyDescent="0.2">
      <c r="B11" s="2" t="s">
        <v>3</v>
      </c>
      <c r="C11" s="39">
        <v>46023</v>
      </c>
    </row>
    <row r="12" spans="2:1848" x14ac:dyDescent="0.2">
      <c r="B12" s="2" t="s">
        <v>4</v>
      </c>
      <c r="C12" s="40">
        <f>MAX(PlageDates)</f>
        <v>46164</v>
      </c>
      <c r="E12" s="34" t="str">
        <f ca="1">_xlfn.FORMULATEXT(C12)</f>
        <v>=MAX(PlageDates)</v>
      </c>
    </row>
    <row r="13" spans="2:1848" x14ac:dyDescent="0.2">
      <c r="C13" s="41"/>
    </row>
    <row r="14" spans="2:1848" x14ac:dyDescent="0.2">
      <c r="B14" s="2" t="s">
        <v>5</v>
      </c>
      <c r="C14" s="42">
        <f>COUNT(PlageEntrees)</f>
        <v>142</v>
      </c>
      <c r="E14" s="34" t="str">
        <f ca="1">_xlfn.FORMULATEXT(C14)</f>
        <v>=NB(PlageEntrees)</v>
      </c>
    </row>
    <row r="15" spans="2:1848" x14ac:dyDescent="0.2">
      <c r="C15" s="41"/>
      <c r="E15" s="34"/>
    </row>
    <row r="16" spans="2:1848" x14ac:dyDescent="0.2">
      <c r="C16" s="41"/>
      <c r="E16" s="34"/>
    </row>
    <row r="17" spans="1:7" x14ac:dyDescent="0.2">
      <c r="B17" s="2" t="s">
        <v>23</v>
      </c>
      <c r="C17" s="41"/>
      <c r="E17" s="34"/>
    </row>
    <row r="18" spans="1:7" x14ac:dyDescent="0.2">
      <c r="B18" s="36" t="s">
        <v>7</v>
      </c>
      <c r="C18" s="43">
        <f>SUM(PlageEntrees)</f>
        <v>77053.847999999998</v>
      </c>
      <c r="E18" s="34" t="str">
        <f ca="1">_xlfn.FORMULATEXT(C18)</f>
        <v>=SOMME(PlageEntrees)</v>
      </c>
    </row>
    <row r="19" spans="1:7" x14ac:dyDescent="0.2">
      <c r="B19" s="36" t="s">
        <v>8</v>
      </c>
      <c r="C19" s="43">
        <f>SUM(PlagePrets)</f>
        <v>67921.799000000028</v>
      </c>
      <c r="E19" s="34" t="str">
        <f ca="1">_xlfn.FORMULATEXT(C19)</f>
        <v>=SOMME(PlagePrets)</v>
      </c>
    </row>
    <row r="20" spans="1:7" x14ac:dyDescent="0.2">
      <c r="C20" s="41"/>
      <c r="E20" s="34"/>
    </row>
    <row r="21" spans="1:7" x14ac:dyDescent="0.2">
      <c r="B21" s="2" t="s">
        <v>24</v>
      </c>
      <c r="C21" s="41"/>
      <c r="E21" s="34"/>
    </row>
    <row r="22" spans="1:7" x14ac:dyDescent="0.2">
      <c r="B22" s="36" t="s">
        <v>7</v>
      </c>
      <c r="C22" s="44">
        <f>AVERAGE(PlageEntrees)</f>
        <v>542.63273239436614</v>
      </c>
      <c r="E22" s="34" t="str">
        <f ca="1">_xlfn.FORMULATEXT(C22)</f>
        <v>=MOYENNE(PlageEntrees)</v>
      </c>
    </row>
    <row r="23" spans="1:7" x14ac:dyDescent="0.2">
      <c r="B23" s="36" t="s">
        <v>8</v>
      </c>
      <c r="C23" s="44">
        <f>AVERAGE(PlagePrets)</f>
        <v>478.32252816901428</v>
      </c>
      <c r="E23" s="34" t="str">
        <f ca="1">_xlfn.FORMULATEXT(C23)</f>
        <v>=MOYENNE(PlagePrets)</v>
      </c>
    </row>
    <row r="24" spans="1:7" x14ac:dyDescent="0.2">
      <c r="C24" s="50"/>
      <c r="E24" s="34"/>
    </row>
    <row r="25" spans="1:7" x14ac:dyDescent="0.2">
      <c r="B25" s="2" t="s">
        <v>25</v>
      </c>
      <c r="C25" s="41"/>
      <c r="E25" s="34"/>
    </row>
    <row r="26" spans="1:7" x14ac:dyDescent="0.2">
      <c r="B26" s="36" t="s">
        <v>7</v>
      </c>
      <c r="C26" s="44">
        <f>MEDIAN(PlageEntrees)</f>
        <v>533.33300000000008</v>
      </c>
      <c r="E26" s="34" t="str">
        <f ca="1">_xlfn.FORMULATEXT(C26)</f>
        <v>=MEDIANE(PlageEntrees)</v>
      </c>
    </row>
    <row r="27" spans="1:7" x14ac:dyDescent="0.2">
      <c r="B27" s="36" t="s">
        <v>8</v>
      </c>
      <c r="C27" s="44">
        <f>MEDIAN(PlagePrets)</f>
        <v>460.25599999999997</v>
      </c>
      <c r="E27" s="34" t="str">
        <f ca="1">_xlfn.FORMULATEXT(C27)</f>
        <v>=MEDIANE(PlagePrets)</v>
      </c>
    </row>
    <row r="28" spans="1:7" x14ac:dyDescent="0.2">
      <c r="C28" s="41"/>
      <c r="E28" s="34"/>
    </row>
    <row r="29" spans="1:7" x14ac:dyDescent="0.2">
      <c r="B29" s="2" t="s">
        <v>26</v>
      </c>
      <c r="C29" s="41"/>
      <c r="E29" s="34"/>
    </row>
    <row r="30" spans="1:7" x14ac:dyDescent="0.2">
      <c r="B30" s="37" t="s">
        <v>12</v>
      </c>
      <c r="C30" s="45">
        <f>MAX(PlageEntrees)</f>
        <v>982.05100000000004</v>
      </c>
      <c r="E30" s="34" t="str">
        <f ca="1">_xlfn.FORMULATEXT(C30)</f>
        <v>=MAX(PlageEntrees)</v>
      </c>
    </row>
    <row r="31" spans="1:7" x14ac:dyDescent="0.2">
      <c r="B31" s="36" t="s">
        <v>13</v>
      </c>
      <c r="C31" s="46">
        <f>_xlfn.XLOOKUP(MaxEntrees,PlageEntrees,PlageDates)</f>
        <v>46120</v>
      </c>
      <c r="E31" s="34" t="str">
        <f ca="1">_xlfn.FORMULATEXT(C31)</f>
        <v>=RECHERCHEX(MaxEntrees;PlageEntrees;PlageDates)</v>
      </c>
      <c r="G31" s="6"/>
    </row>
    <row r="32" spans="1:7" x14ac:dyDescent="0.2">
      <c r="A32" s="6"/>
      <c r="C32" s="47"/>
      <c r="E32" s="34"/>
      <c r="G32" s="6"/>
    </row>
    <row r="33" spans="1:7" x14ac:dyDescent="0.2">
      <c r="A33" s="6"/>
      <c r="B33" s="36" t="s">
        <v>14</v>
      </c>
      <c r="C33" s="44">
        <f>MAX(PlagePrets)</f>
        <v>994.87200000000007</v>
      </c>
      <c r="E33" s="34" t="str">
        <f ca="1">_xlfn.FORMULATEXT(C33)</f>
        <v>=MAX(PlagePrets)</v>
      </c>
      <c r="G33" s="6"/>
    </row>
    <row r="34" spans="1:7" x14ac:dyDescent="0.2">
      <c r="B34" s="38" t="s">
        <v>15</v>
      </c>
      <c r="C34" s="48">
        <f>_xlfn.XLOOKUP(MaxPrets,PlagePrets,PlageDates)</f>
        <v>46101</v>
      </c>
      <c r="E34" s="34" t="str">
        <f ca="1">_xlfn.FORMULATEXT(C34)</f>
        <v>=RECHERCHEX(MaxPrets;PlagePrets;PlageDates)</v>
      </c>
      <c r="G34" s="6"/>
    </row>
    <row r="35" spans="1:7" x14ac:dyDescent="0.2">
      <c r="C35" s="41"/>
      <c r="E35" s="34"/>
    </row>
    <row r="36" spans="1:7" x14ac:dyDescent="0.2">
      <c r="B36" s="2" t="s">
        <v>27</v>
      </c>
      <c r="C36" s="41"/>
      <c r="E36" s="34"/>
    </row>
    <row r="37" spans="1:7" x14ac:dyDescent="0.2">
      <c r="B37" s="36" t="s">
        <v>17</v>
      </c>
      <c r="C37" s="44">
        <f>MIN(PlageEntrees)</f>
        <v>223.077</v>
      </c>
      <c r="E37" s="34" t="str">
        <f ca="1">_xlfn.FORMULATEXT(C37)</f>
        <v>=MIN(PlageEntrees)</v>
      </c>
    </row>
    <row r="38" spans="1:7" x14ac:dyDescent="0.2">
      <c r="B38" s="36" t="s">
        <v>18</v>
      </c>
      <c r="C38" s="46">
        <f>_xlfn.XLOOKUP(MinEntrées,PlageEntrees,PlageDates)</f>
        <v>46034</v>
      </c>
      <c r="E38" s="34" t="str">
        <f ca="1">_xlfn.FORMULATEXT(C38)</f>
        <v>=RECHERCHEX(MinEntrées;PlageEntrees;PlageDates)</v>
      </c>
      <c r="G38" s="6"/>
    </row>
    <row r="39" spans="1:7" x14ac:dyDescent="0.2">
      <c r="A39" s="6"/>
      <c r="C39" s="47"/>
      <c r="E39" s="34"/>
      <c r="G39" s="6"/>
    </row>
    <row r="40" spans="1:7" x14ac:dyDescent="0.2">
      <c r="A40" s="6"/>
      <c r="B40" s="36" t="s">
        <v>19</v>
      </c>
      <c r="C40" s="44">
        <f>MIN(PlagePrets)</f>
        <v>29.487000000000002</v>
      </c>
      <c r="E40" s="34" t="str">
        <f t="shared" ref="E40:E41" ca="1" si="0">_xlfn.FORMULATEXT(C40)</f>
        <v>=MIN(PlagePrets)</v>
      </c>
      <c r="G40" s="6"/>
    </row>
    <row r="41" spans="1:7" x14ac:dyDescent="0.2">
      <c r="B41" s="36" t="s">
        <v>20</v>
      </c>
      <c r="C41" s="46">
        <f>_xlfn.XLOOKUP(MinPrets,PlagePrets,PlageDates)</f>
        <v>46158</v>
      </c>
      <c r="E41" s="34" t="str">
        <f t="shared" ca="1" si="0"/>
        <v>=RECHERCHEX(MinPrets;PlagePrets;PlageDates)</v>
      </c>
      <c r="G41" s="6"/>
    </row>
    <row r="43" spans="1:7" x14ac:dyDescent="0.2">
      <c r="B43" s="2" t="s">
        <v>29</v>
      </c>
    </row>
    <row r="44" spans="1:7" x14ac:dyDescent="0.2">
      <c r="B44" s="36" t="s">
        <v>30</v>
      </c>
      <c r="C44" s="44">
        <f>MAX(PlageEntrees)-MIN(PlageEntrees)</f>
        <v>758.97400000000005</v>
      </c>
      <c r="E44" s="34" t="str">
        <f t="shared" ref="E44:E45" ca="1" si="1">_xlfn.FORMULATEXT(C44)</f>
        <v>=MAX(PlageEntrees)-MIN(PlageEntrees)</v>
      </c>
    </row>
    <row r="45" spans="1:7" x14ac:dyDescent="0.2">
      <c r="B45" s="36" t="s">
        <v>31</v>
      </c>
      <c r="C45" s="44">
        <f>MAX(PlagePrets) - MIN(PlagePrets)</f>
        <v>965.3850000000001</v>
      </c>
      <c r="E45" s="34" t="str">
        <f t="shared" ca="1" si="1"/>
        <v>=MAX(PlagePrets) - MIN(PlagePrets)</v>
      </c>
    </row>
    <row r="46" spans="1:7" x14ac:dyDescent="0.2">
      <c r="C46" s="6"/>
    </row>
    <row r="51" spans="8:8" x14ac:dyDescent="0.2">
      <c r="H51">
        <v>11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9F16-8D2F-4F0F-8A2F-C30B152E9428}">
  <sheetPr>
    <tabColor theme="7" tint="0.79998168889431442"/>
  </sheetPr>
  <dimension ref="A1"/>
  <sheetViews>
    <sheetView showGridLines="0" workbookViewId="0">
      <selection activeCell="L45" sqref="L45"/>
    </sheetView>
  </sheetViews>
  <sheetFormatPr baseColWidth="10" defaultColWidth="9.33203125" defaultRowHeight="12" x14ac:dyDescent="0.2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CBACD-DEA7-4B9B-A8CD-59A0565E037C}">
  <sheetPr>
    <tabColor theme="8"/>
  </sheetPr>
  <dimension ref="A1"/>
  <sheetViews>
    <sheetView showGridLines="0" workbookViewId="0">
      <selection activeCell="R61" sqref="R61"/>
    </sheetView>
  </sheetViews>
  <sheetFormatPr baseColWidth="10" defaultColWidth="9.33203125" defaultRowHeight="12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8489F-5371-4F18-B42C-3A166E045C9D}">
  <sheetPr>
    <tabColor theme="8" tint="0.79998168889431442"/>
  </sheetPr>
  <dimension ref="C5:AN22"/>
  <sheetViews>
    <sheetView showGridLines="0" tabSelected="1" zoomScale="85" zoomScaleNormal="85" workbookViewId="0">
      <selection activeCell="AD7" sqref="AD7"/>
    </sheetView>
  </sheetViews>
  <sheetFormatPr baseColWidth="10" defaultColWidth="11.1640625" defaultRowHeight="12" x14ac:dyDescent="0.2"/>
  <cols>
    <col min="3" max="18" width="15.6640625" customWidth="1"/>
    <col min="29" max="29" width="53" customWidth="1"/>
  </cols>
  <sheetData>
    <row r="5" spans="3:30" x14ac:dyDescent="0.2">
      <c r="C5" t="s">
        <v>32</v>
      </c>
    </row>
    <row r="9" spans="3:30" ht="15.75" x14ac:dyDescent="0.25">
      <c r="C9" s="32" t="s">
        <v>33</v>
      </c>
      <c r="D9" s="33" t="s">
        <v>34</v>
      </c>
      <c r="E9" s="32" t="s">
        <v>35</v>
      </c>
      <c r="F9" s="32" t="s">
        <v>36</v>
      </c>
      <c r="G9" s="32" t="s">
        <v>37</v>
      </c>
      <c r="H9" s="32" t="s">
        <v>38</v>
      </c>
      <c r="I9" s="32" t="s">
        <v>39</v>
      </c>
      <c r="J9" s="32" t="s">
        <v>40</v>
      </c>
      <c r="K9" s="32" t="s">
        <v>41</v>
      </c>
      <c r="L9" s="32" t="s">
        <v>42</v>
      </c>
      <c r="M9" s="32" t="s">
        <v>43</v>
      </c>
      <c r="N9" s="32" t="s">
        <v>44</v>
      </c>
      <c r="O9" s="32" t="s">
        <v>45</v>
      </c>
      <c r="P9" s="32" t="s">
        <v>46</v>
      </c>
      <c r="Q9" s="33" t="s">
        <v>47</v>
      </c>
      <c r="R9" s="33" t="s">
        <v>48</v>
      </c>
    </row>
    <row r="10" spans="3:30" ht="24.95" customHeight="1" x14ac:dyDescent="0.2">
      <c r="C10" s="16"/>
      <c r="D10" s="19"/>
      <c r="E10" s="20"/>
      <c r="F10" s="21"/>
      <c r="G10" s="22"/>
      <c r="H10" s="23"/>
      <c r="I10" s="24"/>
      <c r="J10" s="25"/>
      <c r="K10" s="17"/>
      <c r="L10" s="18"/>
      <c r="M10" s="26"/>
      <c r="N10" s="27"/>
      <c r="O10" s="28"/>
      <c r="P10" s="29"/>
      <c r="Q10" s="30"/>
      <c r="R10" s="31"/>
    </row>
    <row r="11" spans="3:30" ht="24.95" customHeight="1" x14ac:dyDescent="0.2">
      <c r="C11" s="14" t="s">
        <v>49</v>
      </c>
      <c r="D11" s="14" t="s">
        <v>50</v>
      </c>
      <c r="E11" s="14" t="s">
        <v>51</v>
      </c>
      <c r="F11" s="14" t="s">
        <v>52</v>
      </c>
      <c r="G11" s="14" t="s">
        <v>53</v>
      </c>
      <c r="H11" s="14" t="s">
        <v>54</v>
      </c>
      <c r="I11" s="14" t="s">
        <v>55</v>
      </c>
      <c r="J11" s="14" t="s">
        <v>56</v>
      </c>
      <c r="K11" s="14" t="s">
        <v>57</v>
      </c>
      <c r="L11" s="14" t="s">
        <v>58</v>
      </c>
      <c r="M11" s="14" t="s">
        <v>59</v>
      </c>
      <c r="N11" s="14" t="s">
        <v>60</v>
      </c>
      <c r="O11" s="14" t="s">
        <v>61</v>
      </c>
      <c r="P11" s="14" t="s">
        <v>62</v>
      </c>
      <c r="Q11" s="14" t="s">
        <v>63</v>
      </c>
      <c r="R11" s="15" t="s">
        <v>64</v>
      </c>
      <c r="S11" s="9"/>
    </row>
    <row r="12" spans="3:30" ht="24.95" customHeight="1" x14ac:dyDescent="0.2">
      <c r="C12" s="12"/>
      <c r="D12" s="10"/>
      <c r="E12" s="11"/>
      <c r="F12" s="11"/>
      <c r="G12" s="11"/>
      <c r="H12" s="11"/>
      <c r="J12" s="11"/>
      <c r="K12" s="11"/>
      <c r="L12" s="11"/>
      <c r="M12" s="11"/>
      <c r="O12" s="11"/>
      <c r="Q12" s="13"/>
      <c r="S12" s="11"/>
    </row>
    <row r="13" spans="3:30" ht="24.95" customHeight="1" x14ac:dyDescent="0.2">
      <c r="C13" s="12"/>
      <c r="D13" s="10"/>
      <c r="E13" s="11"/>
      <c r="F13" s="11"/>
      <c r="G13" s="11"/>
      <c r="H13" s="11"/>
      <c r="J13" s="11"/>
      <c r="K13" s="11"/>
      <c r="L13" s="11"/>
      <c r="M13" s="11"/>
      <c r="O13" s="9"/>
      <c r="Q13" s="9"/>
      <c r="S13" s="9"/>
    </row>
    <row r="14" spans="3:30" ht="24.95" customHeight="1" x14ac:dyDescent="0.2">
      <c r="C14" s="12"/>
      <c r="D14" s="10"/>
      <c r="E14" s="11"/>
      <c r="F14" s="11"/>
      <c r="G14" s="11"/>
      <c r="H14" s="11"/>
      <c r="J14" s="11"/>
      <c r="K14" s="11"/>
      <c r="L14" s="11"/>
      <c r="M14" s="11"/>
      <c r="N14" s="9"/>
      <c r="O14" s="9"/>
      <c r="P14" s="9"/>
      <c r="Q14" s="9"/>
      <c r="R14" s="9"/>
      <c r="S14" s="9"/>
    </row>
    <row r="15" spans="3:30" ht="24.95" customHeight="1" x14ac:dyDescent="0.35">
      <c r="C15" s="10"/>
      <c r="D15" s="10"/>
      <c r="E15" s="10"/>
      <c r="F15" s="10"/>
      <c r="G15" s="10"/>
      <c r="H15" s="10"/>
      <c r="J15" s="10"/>
      <c r="K15" s="10"/>
      <c r="L15" s="10"/>
      <c r="M15" s="10"/>
      <c r="O15" s="9"/>
      <c r="Q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77" t="s">
        <v>69</v>
      </c>
      <c r="AD15" s="9"/>
    </row>
    <row r="16" spans="3:30" ht="24.95" customHeight="1" x14ac:dyDescent="0.2">
      <c r="C16" s="10"/>
      <c r="D16" s="10"/>
      <c r="E16" s="10"/>
      <c r="F16" s="10"/>
      <c r="G16" s="10"/>
      <c r="H16" s="10"/>
      <c r="J16" s="10"/>
      <c r="K16" s="10"/>
      <c r="L16" s="10"/>
      <c r="M16" s="10"/>
      <c r="O16" s="9"/>
      <c r="Q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0:40" ht="24.75" customHeight="1" x14ac:dyDescent="0.2"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C17" s="9"/>
      <c r="AD17" s="9"/>
    </row>
    <row r="18" spans="10:40" ht="24.75" customHeight="1" x14ac:dyDescent="0.2">
      <c r="J18" s="12"/>
      <c r="K18" s="12"/>
      <c r="L18" s="12"/>
    </row>
    <row r="19" spans="10:40" ht="24.75" customHeight="1" x14ac:dyDescent="0.2"/>
    <row r="20" spans="10:40" ht="24.75" customHeight="1" x14ac:dyDescent="0.2">
      <c r="K20" s="11"/>
      <c r="L20" s="11"/>
    </row>
    <row r="21" spans="10:40" ht="24.75" customHeight="1" x14ac:dyDescent="0.2"/>
    <row r="22" spans="10:40" ht="18.75" x14ac:dyDescent="0.3">
      <c r="AC22" s="1" t="s">
        <v>73</v>
      </c>
      <c r="AD22" s="1" t="s">
        <v>72</v>
      </c>
      <c r="AE22" s="1"/>
      <c r="AI22" s="1" t="s">
        <v>74</v>
      </c>
      <c r="AN22" s="1" t="s">
        <v>75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4326-CC0C-4587-A5D6-F23562F603B9}">
  <sheetPr>
    <tabColor theme="8" tint="0.79998168889431442"/>
  </sheetPr>
  <dimension ref="A1:I20"/>
  <sheetViews>
    <sheetView showGridLines="0" workbookViewId="0">
      <selection activeCell="C19" sqref="C19"/>
    </sheetView>
  </sheetViews>
  <sheetFormatPr baseColWidth="10" defaultRowHeight="12" x14ac:dyDescent="0.2"/>
  <cols>
    <col min="2" max="2" width="41" customWidth="1"/>
    <col min="4" max="4" width="26.6640625" bestFit="1" customWidth="1"/>
  </cols>
  <sheetData>
    <row r="1" spans="1:8" ht="54" customHeight="1" x14ac:dyDescent="0.2">
      <c r="A1" s="76"/>
      <c r="B1" s="76"/>
      <c r="C1" s="76"/>
      <c r="D1" s="76"/>
      <c r="E1" s="76"/>
      <c r="F1" s="76"/>
      <c r="G1" s="76"/>
      <c r="H1" s="76"/>
    </row>
    <row r="4" spans="1:8" x14ac:dyDescent="0.2">
      <c r="B4" s="2" t="s">
        <v>65</v>
      </c>
      <c r="D4" s="75" t="s">
        <v>66</v>
      </c>
    </row>
    <row r="6" spans="1:8" x14ac:dyDescent="0.2">
      <c r="B6" s="2" t="s">
        <v>68</v>
      </c>
      <c r="D6" s="75" t="s">
        <v>67</v>
      </c>
    </row>
    <row r="9" spans="1:8" x14ac:dyDescent="0.2">
      <c r="B9" s="2" t="s">
        <v>70</v>
      </c>
      <c r="D9" s="75" t="s">
        <v>71</v>
      </c>
    </row>
    <row r="20" spans="9:9" x14ac:dyDescent="0.2">
      <c r="I20" s="74"/>
    </row>
  </sheetData>
  <hyperlinks>
    <hyperlink ref="D4" r:id="rId1" xr:uid="{69E85E3E-4425-4445-AD41-609E7650CB9B}"/>
    <hyperlink ref="D6" r:id="rId2" xr:uid="{82164B91-A8BE-4333-9FA4-F388AFE63AC3}"/>
    <hyperlink ref="D9" r:id="rId3" xr:uid="{29B33E55-0DDE-4826-A44E-F37D2B412D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17</vt:i4>
      </vt:variant>
    </vt:vector>
  </HeadingPairs>
  <TitlesOfParts>
    <vt:vector size="26" baseType="lpstr">
      <vt:lpstr>Entrées</vt:lpstr>
      <vt:lpstr>SISB_Data_2026</vt:lpstr>
      <vt:lpstr>SISB_Data_Stats_2026</vt:lpstr>
      <vt:lpstr>&gt;&gt; Fichier final</vt:lpstr>
      <vt:lpstr>SISB_Data_Stats_Formules</vt:lpstr>
      <vt:lpstr>SISB_Data_Viz</vt:lpstr>
      <vt:lpstr>&gt;&gt; Guides</vt:lpstr>
      <vt:lpstr>Theme EPFL</vt:lpstr>
      <vt:lpstr>Références</vt:lpstr>
      <vt:lpstr>SISB_Data_Stats_Formules!DateDebut</vt:lpstr>
      <vt:lpstr>DateFin</vt:lpstr>
      <vt:lpstr>JourMaxPrets</vt:lpstr>
      <vt:lpstr>JourMinEntrees</vt:lpstr>
      <vt:lpstr>JourMinPrets</vt:lpstr>
      <vt:lpstr>MaxEntrees</vt:lpstr>
      <vt:lpstr>MaxPrets</vt:lpstr>
      <vt:lpstr>MinEntrées</vt:lpstr>
      <vt:lpstr>MinPrets</vt:lpstr>
      <vt:lpstr>MoyEntrees</vt:lpstr>
      <vt:lpstr>MoyPrets</vt:lpstr>
      <vt:lpstr>NombreJours</vt:lpstr>
      <vt:lpstr>PlageDates</vt:lpstr>
      <vt:lpstr>PlageEntrees</vt:lpstr>
      <vt:lpstr>PlagePrets</vt:lpstr>
      <vt:lpstr>TotalEntrées</vt:lpstr>
      <vt:lpstr>TotalPrets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Genevieve Guex</dc:creator>
  <cp:keywords/>
  <dc:description/>
  <cp:lastModifiedBy>Geneviève Agnès Guex</cp:lastModifiedBy>
  <cp:revision/>
  <dcterms:created xsi:type="dcterms:W3CDTF">2026-09-23T12:46:05Z</dcterms:created>
  <dcterms:modified xsi:type="dcterms:W3CDTF">2026-09-28T11:06:49Z</dcterms:modified>
  <cp:category/>
  <cp:contentStatus/>
</cp:coreProperties>
</file>