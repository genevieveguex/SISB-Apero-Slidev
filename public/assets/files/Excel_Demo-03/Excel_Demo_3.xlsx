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3/"/>
    </mc:Choice>
  </mc:AlternateContent>
  <xr:revisionPtr revIDLastSave="148" documentId="8_{5F34EE52-DCE0-4901-A6A3-0D0880B71AA8}" xr6:coauthVersionLast="47" xr6:coauthVersionMax="47" xr10:uidLastSave="{0C65DFA7-E7E3-4C6C-BA04-7949AE0EAACC}"/>
  <bookViews>
    <workbookView xWindow="-120" yWindow="-120" windowWidth="51840" windowHeight="21120" activeTab="2" xr2:uid="{DA9A51B9-C488-4584-9385-98532516F6AF}"/>
  </bookViews>
  <sheets>
    <sheet name="TBL_USEP" sheetId="4" r:id="rId1"/>
    <sheet name="IMG" sheetId="1" r:id="rId2"/>
    <sheet name="Feuil3" sheetId="3" r:id="rId3"/>
  </sheets>
  <externalReferences>
    <externalReference r:id="rId4"/>
  </externalReferences>
  <definedNames>
    <definedName name="DonnéesExternes_1" localSheetId="0" hidden="1">TBL_USEP!$A$1:$H$96</definedName>
    <definedName name="Segment_Année">#N/A</definedName>
    <definedName name="Segment_Équipe">#N/A</definedName>
    <definedName name="Segment_Indicateur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" i="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86CC00-211F-4C84-92D9-AFE3ABB344A7}" keepAlive="1" name="Requête - TBL_USEP" description="Connexion à la requête « TBL_USEP » dans le classeur." type="5" refreshedVersion="8" background="1" saveData="1">
    <dbPr connection="Provider=Microsoft.Mashup.OleDb.1;Data Source=$Workbook$;Location=TBL_USEP;Extended Properties=&quot;&quot;" command="SELECT * FROM [TBL_USE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<sst xmlns="http://schemas.openxmlformats.org/spreadsheetml/2006/main" count="390" uniqueCount="22">
  <si>
    <t>N° Indicateur</t>
  </si>
  <si>
    <t>Équipe</t>
  </si>
  <si>
    <t>Indicateur</t>
  </si>
  <si>
    <t>Descriptif indicateur</t>
  </si>
  <si>
    <t>Date</t>
  </si>
  <si>
    <t>Valeur</t>
  </si>
  <si>
    <t>BAT_010</t>
  </si>
  <si>
    <t>ASAP</t>
  </si>
  <si>
    <t>Bâtiment : Entrées physiques (nombre)</t>
  </si>
  <si>
    <t>Nombre d'entrées physiques; 
comptage: total mensuel du système à diviser par deux si comptabilise entrées et sorties</t>
  </si>
  <si>
    <t>USE_010</t>
  </si>
  <si>
    <t>FDOC</t>
  </si>
  <si>
    <t>Usage : Prêts  locaux + PER + PEB avec prolongations (nombre)</t>
  </si>
  <si>
    <t>Nombre de documents du fonds prêtés et sous prolongation durant le mois;
inclus: prêt en réseau, prêt entre bibliothèques; prêts sans prolongation</t>
  </si>
  <si>
    <t>REQ_010</t>
  </si>
  <si>
    <t>Sollicitations : Guichets physiques - demandes (nombre)</t>
  </si>
  <si>
    <t>Nombre de sollicitations au guichet physique durant le mois</t>
  </si>
  <si>
    <t>Nombre de documents du fonds prêtés et sous prolongation durant le mois;
inclus: prêt en réseau, prêt entre bibliothèques; inclus les prêts sans prolongation</t>
  </si>
  <si>
    <t>STATISTIQUES USEP</t>
  </si>
  <si>
    <t>Année</t>
  </si>
  <si>
    <t>Trimestre</t>
  </si>
  <si>
    <t>TITRE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</si>
</sst>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_-* #,##0.00_-;\-* #,##0.00_-;_-* &quot;-&quot;??_-;_-@_-"/>
  </numFmts>
  <fonts count="5" x14ac:knownFonts="1">
    <font>
      <sz val="9"/>
      <color theme="1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sz val="8"/>
      <name val="Aptos"/>
      <family val="2"/>
    </font>
    <font>
      <b/>
      <sz val="12"/>
      <color theme="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7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/>
    <xf numFmtId="0" fontId="2" fillId="0" borderId="0" xfId="0" applyFont="1"/>
    <xf numFmtId="0" fontId="0" fillId="2" borderId="0" xfId="0" applyFill="1"/>
    <xf numFmtId="0" fontId="4" fillId="2" borderId="0" xfId="0" applyFont="1" applyFill="1" applyAlignment="1">
      <alignment horizontal="left" vertical="center" indent="2"/>
    </xf>
  </cellXfs>
  <cellStyles count="2">
    <cellStyle name="Milliers 2" xfId="1" xr:uid="{DFEC5C90-7C8F-459F-977A-E2B0534B5CC3}"/>
    <cellStyle name="Normal" xfId="0" builtinId="0"/>
  </cellStyles>
  <dxfs count="2"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>
                    <a:lumMod val="50000"/>
                  </a:schemeClr>
                </a:solidFill>
              </a:rPr>
              <a:t>Bâtiment : Entrées physiques (nombre)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5890170786305787E-2"/>
          <c:y val="0.12254901960784313"/>
          <c:w val="0.92953063769613287"/>
          <c:h val="0.7573400108074724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TBL_USEP!$O$1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TBL_USEP!$E$2:$E$96</c:f>
              <c:numCache>
                <c:formatCode>m/d/yyyy</c:formatCode>
                <c:ptCount val="3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45688</c:v>
                </c:pt>
                <c:pt idx="9">
                  <c:v>45716</c:v>
                </c:pt>
                <c:pt idx="10">
                  <c:v>45747</c:v>
                </c:pt>
                <c:pt idx="11">
                  <c:v>45777</c:v>
                </c:pt>
                <c:pt idx="12">
                  <c:v>45808</c:v>
                </c:pt>
                <c:pt idx="13">
                  <c:v>45838</c:v>
                </c:pt>
                <c:pt idx="14">
                  <c:v>45869</c:v>
                </c:pt>
                <c:pt idx="15">
                  <c:v>45900</c:v>
                </c:pt>
                <c:pt idx="16">
                  <c:v>45930</c:v>
                </c:pt>
                <c:pt idx="17">
                  <c:v>45961</c:v>
                </c:pt>
                <c:pt idx="18">
                  <c:v>45991</c:v>
                </c:pt>
                <c:pt idx="19">
                  <c:v>46022</c:v>
                </c:pt>
                <c:pt idx="20">
                  <c:v>45322</c:v>
                </c:pt>
                <c:pt idx="21">
                  <c:v>45351</c:v>
                </c:pt>
                <c:pt idx="22">
                  <c:v>45382</c:v>
                </c:pt>
                <c:pt idx="23">
                  <c:v>45412</c:v>
                </c:pt>
                <c:pt idx="24">
                  <c:v>45443</c:v>
                </c:pt>
                <c:pt idx="25">
                  <c:v>45473</c:v>
                </c:pt>
                <c:pt idx="26">
                  <c:v>45504</c:v>
                </c:pt>
                <c:pt idx="27">
                  <c:v>45535</c:v>
                </c:pt>
                <c:pt idx="28">
                  <c:v>45565</c:v>
                </c:pt>
                <c:pt idx="29">
                  <c:v>45596</c:v>
                </c:pt>
                <c:pt idx="30">
                  <c:v>45626</c:v>
                </c:pt>
                <c:pt idx="31">
                  <c:v>45657</c:v>
                </c:pt>
              </c:numCache>
            </c:numRef>
          </c:cat>
          <c:val>
            <c:numRef>
              <c:f>TBL_USEP!$F$2:$F$96</c:f>
              <c:numCache>
                <c:formatCode>General</c:formatCode>
                <c:ptCount val="3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  <c:pt idx="8">
                  <c:v>148031</c:v>
                </c:pt>
                <c:pt idx="9">
                  <c:v>57373</c:v>
                </c:pt>
                <c:pt idx="10">
                  <c:v>134426</c:v>
                </c:pt>
                <c:pt idx="11">
                  <c:v>107901</c:v>
                </c:pt>
                <c:pt idx="12">
                  <c:v>173573</c:v>
                </c:pt>
                <c:pt idx="13">
                  <c:v>148336</c:v>
                </c:pt>
                <c:pt idx="14">
                  <c:v>30661</c:v>
                </c:pt>
                <c:pt idx="15">
                  <c:v>53610</c:v>
                </c:pt>
                <c:pt idx="16">
                  <c:v>101592</c:v>
                </c:pt>
                <c:pt idx="17">
                  <c:v>153372</c:v>
                </c:pt>
                <c:pt idx="18">
                  <c:v>164814</c:v>
                </c:pt>
                <c:pt idx="19">
                  <c:v>148897</c:v>
                </c:pt>
                <c:pt idx="20">
                  <c:v>154483</c:v>
                </c:pt>
                <c:pt idx="21">
                  <c:v>54995</c:v>
                </c:pt>
                <c:pt idx="22">
                  <c:v>121504</c:v>
                </c:pt>
                <c:pt idx="23">
                  <c:v>141282</c:v>
                </c:pt>
                <c:pt idx="24">
                  <c:v>166846</c:v>
                </c:pt>
                <c:pt idx="25">
                  <c:v>142138</c:v>
                </c:pt>
                <c:pt idx="26">
                  <c:v>34149</c:v>
                </c:pt>
                <c:pt idx="27">
                  <c:v>42282</c:v>
                </c:pt>
                <c:pt idx="28">
                  <c:v>102435</c:v>
                </c:pt>
                <c:pt idx="29">
                  <c:v>152519</c:v>
                </c:pt>
                <c:pt idx="30">
                  <c:v>162715</c:v>
                </c:pt>
                <c:pt idx="31">
                  <c:v>146319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3-4F43-8FC5-DCF5990B913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-27"/>
        <c:axId val="817470704"/>
        <c:axId val="651277776"/>
      </c:barChart>
      <c:dateAx>
        <c:axId val="817470704"/>
        <c:scaling>
          <c:orientation val="minMax"/>
        </c:scaling>
        <c:delete val="0"/>
        <c:axPos val="b"/>
        <c:numFmt formatCode="mmm\ 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77776"/>
        <c:crosses val="autoZero"/>
        <c:auto val="1"/>
        <c:lblOffset val="100"/>
        <c:baseTimeUnit val="months"/>
        <c:majorUnit val="3"/>
      </c:dateAx>
      <c:valAx>
        <c:axId val="65127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747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314325</xdr:colOff>
      <xdr:row>7</xdr:row>
      <xdr:rowOff>142875</xdr:rowOff>
    </xdr:from>
    <xdr:to>
      <xdr:col>13</xdr:col>
      <xdr:colOff>665763</xdr:colOff>
      <xdr:row>45</xdr:row>
      <xdr:rowOff>151675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7DEB067-F033-DBCE-7AD6-D49328375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5925" y="1209675"/>
          <a:ext cx="7895238" cy="5800000"/>
        </a:xfrm>
        <a:prstGeom prst="rect">
          <a:avLst/>
        </a:prstGeom>
      </xdr:spPr>
    </xdr:pic>
    <xdr:clientData/>
  </xdr:twoCellAnchor>
  <xdr:twoCellAnchor>
    <xdr:from>
      <xdr:col>8</xdr:col>
      <xdr:colOff>238125</xdr:colOff>
      <xdr:row>9</xdr:row>
      <xdr:rowOff>133350</xdr:rowOff>
    </xdr:from>
    <xdr:to>
      <xdr:col>9</xdr:col>
      <xdr:colOff>266700</xdr:colOff>
      <xdr:row>12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ED83E7D-FB0E-D4BE-9584-EA95BF09A7C2}"/>
            </a:ext>
          </a:extLst>
        </xdr:cNvPr>
        <xdr:cNvSpPr/>
      </xdr:nvSpPr>
      <xdr:spPr>
        <a:xfrm>
          <a:off x="5724525" y="1504950"/>
          <a:ext cx="714375" cy="438150"/>
        </a:xfrm>
        <a:prstGeom prst="rect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476250</xdr:colOff>
      <xdr:row>12</xdr:row>
      <xdr:rowOff>114301</xdr:rowOff>
    </xdr:from>
    <xdr:to>
      <xdr:col>3</xdr:col>
      <xdr:colOff>495300</xdr:colOff>
      <xdr:row>18</xdr:row>
      <xdr:rowOff>19051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2163F4D-CD36-48E7-88AF-B21DF8BA3696}"/>
            </a:ext>
          </a:extLst>
        </xdr:cNvPr>
        <xdr:cNvSpPr/>
      </xdr:nvSpPr>
      <xdr:spPr>
        <a:xfrm>
          <a:off x="1847850" y="1943101"/>
          <a:ext cx="704850" cy="819150"/>
        </a:xfrm>
        <a:prstGeom prst="rect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438149</xdr:colOff>
      <xdr:row>12</xdr:row>
      <xdr:rowOff>95250</xdr:rowOff>
    </xdr:from>
    <xdr:to>
      <xdr:col>13</xdr:col>
      <xdr:colOff>28574</xdr:colOff>
      <xdr:row>17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55A1317-06BE-4DA9-A9B6-665C3859F09F}"/>
            </a:ext>
          </a:extLst>
        </xdr:cNvPr>
        <xdr:cNvSpPr/>
      </xdr:nvSpPr>
      <xdr:spPr>
        <a:xfrm>
          <a:off x="1809749" y="1924050"/>
          <a:ext cx="7134225" cy="742950"/>
        </a:xfrm>
        <a:prstGeom prst="rect">
          <a:avLst/>
        </a:prstGeom>
        <a:noFill/>
        <a:ln w="5715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542924</xdr:colOff>
      <xdr:row>18</xdr:row>
      <xdr:rowOff>19049</xdr:rowOff>
    </xdr:from>
    <xdr:to>
      <xdr:col>6</xdr:col>
      <xdr:colOff>161925</xdr:colOff>
      <xdr:row>44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339AC5B-FBCA-4615-901E-427B5FEFA92A}"/>
            </a:ext>
          </a:extLst>
        </xdr:cNvPr>
        <xdr:cNvSpPr/>
      </xdr:nvSpPr>
      <xdr:spPr>
        <a:xfrm>
          <a:off x="1914524" y="2762249"/>
          <a:ext cx="2362201" cy="3990975"/>
        </a:xfrm>
        <a:prstGeom prst="rect">
          <a:avLst/>
        </a:prstGeom>
        <a:noFill/>
        <a:ln w="5715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6</xdr:col>
      <xdr:colOff>314326</xdr:colOff>
      <xdr:row>39</xdr:row>
      <xdr:rowOff>57150</xdr:rowOff>
    </xdr:from>
    <xdr:to>
      <xdr:col>9</xdr:col>
      <xdr:colOff>600075</xdr:colOff>
      <xdr:row>43</xdr:row>
      <xdr:rowOff>85725</xdr:rowOff>
    </xdr:to>
    <xdr:sp macro="" textlink="">
      <xdr:nvSpPr>
        <xdr:cNvPr id="8" name="ZoneTexte 7">
          <a:extLst>
            <a:ext uri="{FF2B5EF4-FFF2-40B4-BE49-F238E27FC236}">
              <a16:creationId xmlns:a16="http://schemas.microsoft.com/office/drawing/2014/main" id="{D5D48944-7BBB-C1F4-B85B-DCB953543B64}"/>
            </a:ext>
          </a:extLst>
        </xdr:cNvPr>
        <xdr:cNvSpPr txBox="1"/>
      </xdr:nvSpPr>
      <xdr:spPr>
        <a:xfrm>
          <a:off x="4429126" y="6000750"/>
          <a:ext cx="2343149" cy="638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3200">
              <a:solidFill>
                <a:schemeClr val="accent5"/>
              </a:solidFill>
            </a:rPr>
            <a:t>Connecteurs</a:t>
          </a:r>
        </a:p>
      </xdr:txBody>
    </xdr:sp>
    <xdr:clientData/>
  </xdr:twoCellAnchor>
  <xdr:twoCellAnchor>
    <xdr:from>
      <xdr:col>9</xdr:col>
      <xdr:colOff>342900</xdr:colOff>
      <xdr:row>8</xdr:row>
      <xdr:rowOff>57150</xdr:rowOff>
    </xdr:from>
    <xdr:to>
      <xdr:col>10</xdr:col>
      <xdr:colOff>342900</xdr:colOff>
      <xdr:row>12</xdr:row>
      <xdr:rowOff>19050</xdr:rowOff>
    </xdr:to>
    <xdr:sp macro="" textlink="">
      <xdr:nvSpPr>
        <xdr:cNvPr id="15" name="Flèche : droite 14">
          <a:extLst>
            <a:ext uri="{FF2B5EF4-FFF2-40B4-BE49-F238E27FC236}">
              <a16:creationId xmlns:a16="http://schemas.microsoft.com/office/drawing/2014/main" id="{BD629C8A-B719-F393-0586-09C3231902BA}"/>
            </a:ext>
          </a:extLst>
        </xdr:cNvPr>
        <xdr:cNvSpPr/>
      </xdr:nvSpPr>
      <xdr:spPr>
        <a:xfrm rot="10800000">
          <a:off x="6515100" y="1276350"/>
          <a:ext cx="685800" cy="571500"/>
        </a:xfrm>
        <a:prstGeom prst="rightArrow">
          <a:avLst/>
        </a:prstGeom>
        <a:solidFill>
          <a:schemeClr val="accent5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26</xdr:col>
      <xdr:colOff>571500</xdr:colOff>
      <xdr:row>7</xdr:row>
      <xdr:rowOff>133350</xdr:rowOff>
    </xdr:from>
    <xdr:to>
      <xdr:col>38</xdr:col>
      <xdr:colOff>646662</xdr:colOff>
      <xdr:row>35</xdr:row>
      <xdr:rowOff>66150</xdr:rowOff>
    </xdr:to>
    <xdr:pic>
      <xdr:nvPicPr>
        <xdr:cNvPr id="17" name="Image 16">
          <a:extLst>
            <a:ext uri="{FF2B5EF4-FFF2-40B4-BE49-F238E27FC236}">
              <a16:creationId xmlns:a16="http://schemas.microsoft.com/office/drawing/2014/main" id="{95D56F63-D494-B14E-5A19-22A133829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02300" y="1200150"/>
          <a:ext cx="8304762" cy="4200000"/>
        </a:xfrm>
        <a:prstGeom prst="rect">
          <a:avLst/>
        </a:prstGeom>
      </xdr:spPr>
    </xdr:pic>
    <xdr:clientData/>
  </xdr:twoCellAnchor>
  <xdr:oneCellAnchor>
    <xdr:from>
      <xdr:col>27</xdr:col>
      <xdr:colOff>133350</xdr:colOff>
      <xdr:row>28</xdr:row>
      <xdr:rowOff>9525</xdr:rowOff>
    </xdr:from>
    <xdr:ext cx="2607252" cy="530658"/>
    <xdr:sp macro="" textlink="">
      <xdr:nvSpPr>
        <xdr:cNvPr id="18" name="ZoneTexte 17">
          <a:extLst>
            <a:ext uri="{FF2B5EF4-FFF2-40B4-BE49-F238E27FC236}">
              <a16:creationId xmlns:a16="http://schemas.microsoft.com/office/drawing/2014/main" id="{5F1C46B7-2BE3-F434-2A28-710C72B09767}"/>
            </a:ext>
          </a:extLst>
        </xdr:cNvPr>
        <xdr:cNvSpPr txBox="1"/>
      </xdr:nvSpPr>
      <xdr:spPr>
        <a:xfrm>
          <a:off x="18649950" y="4276725"/>
          <a:ext cx="2607252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>
              <a:solidFill>
                <a:schemeClr val="accent5"/>
              </a:solidFill>
            </a:rPr>
            <a:t>Choisir une table</a:t>
          </a:r>
        </a:p>
      </xdr:txBody>
    </xdr:sp>
    <xdr:clientData/>
  </xdr:oneCellAnchor>
  <xdr:twoCellAnchor>
    <xdr:from>
      <xdr:col>35</xdr:col>
      <xdr:colOff>457200</xdr:colOff>
      <xdr:row>32</xdr:row>
      <xdr:rowOff>104775</xdr:rowOff>
    </xdr:from>
    <xdr:to>
      <xdr:col>37</xdr:col>
      <xdr:colOff>419100</xdr:colOff>
      <xdr:row>35</xdr:row>
      <xdr:rowOff>19050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AB754C1-0A14-C417-9827-4B676C80E169}"/>
            </a:ext>
          </a:extLst>
        </xdr:cNvPr>
        <xdr:cNvSpPr/>
      </xdr:nvSpPr>
      <xdr:spPr>
        <a:xfrm>
          <a:off x="24460200" y="4981575"/>
          <a:ext cx="1333500" cy="371475"/>
        </a:xfrm>
        <a:prstGeom prst="rect">
          <a:avLst/>
        </a:prstGeom>
        <a:noFill/>
        <a:ln w="3810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30</xdr:col>
      <xdr:colOff>200025</xdr:colOff>
      <xdr:row>17</xdr:row>
      <xdr:rowOff>76200</xdr:rowOff>
    </xdr:from>
    <xdr:to>
      <xdr:col>31</xdr:col>
      <xdr:colOff>198225</xdr:colOff>
      <xdr:row>21</xdr:row>
      <xdr:rowOff>150600</xdr:rowOff>
    </xdr:to>
    <xdr:pic>
      <xdr:nvPicPr>
        <xdr:cNvPr id="21" name="Graphique 20" descr="Badge 1 avec un remplissage uni">
          <a:extLst>
            <a:ext uri="{FF2B5EF4-FFF2-40B4-BE49-F238E27FC236}">
              <a16:creationId xmlns:a16="http://schemas.microsoft.com/office/drawing/2014/main" id="{9460385C-FE38-7D55-579B-8D0E595D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0774025" y="2667000"/>
          <a:ext cx="684000" cy="684000"/>
        </a:xfrm>
        <a:prstGeom prst="rect">
          <a:avLst/>
        </a:prstGeom>
      </xdr:spPr>
    </xdr:pic>
    <xdr:clientData/>
  </xdr:twoCellAnchor>
  <xdr:twoCellAnchor editAs="oneCell">
    <xdr:from>
      <xdr:col>36</xdr:col>
      <xdr:colOff>64275</xdr:colOff>
      <xdr:row>27</xdr:row>
      <xdr:rowOff>150000</xdr:rowOff>
    </xdr:from>
    <xdr:to>
      <xdr:col>37</xdr:col>
      <xdr:colOff>62475</xdr:colOff>
      <xdr:row>32</xdr:row>
      <xdr:rowOff>72000</xdr:rowOff>
    </xdr:to>
    <xdr:pic>
      <xdr:nvPicPr>
        <xdr:cNvPr id="23" name="Graphique 22" descr="Badge avec un remplissage uni">
          <a:extLst>
            <a:ext uri="{FF2B5EF4-FFF2-40B4-BE49-F238E27FC236}">
              <a16:creationId xmlns:a16="http://schemas.microsoft.com/office/drawing/2014/main" id="{8D348BD0-39E3-0935-1C06-A7E5F572D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4753075" y="4264800"/>
          <a:ext cx="684000" cy="684000"/>
        </a:xfrm>
        <a:prstGeom prst="rect">
          <a:avLst/>
        </a:prstGeom>
      </xdr:spPr>
    </xdr:pic>
    <xdr:clientData/>
  </xdr:twoCellAnchor>
  <xdr:twoCellAnchor editAs="oneCell">
    <xdr:from>
      <xdr:col>14</xdr:col>
      <xdr:colOff>85725</xdr:colOff>
      <xdr:row>8</xdr:row>
      <xdr:rowOff>0</xdr:rowOff>
    </xdr:from>
    <xdr:to>
      <xdr:col>26</xdr:col>
      <xdr:colOff>256125</xdr:colOff>
      <xdr:row>42</xdr:row>
      <xdr:rowOff>37448</xdr:rowOff>
    </xdr:to>
    <xdr:pic>
      <xdr:nvPicPr>
        <xdr:cNvPr id="24" name="Image 23">
          <a:extLst>
            <a:ext uri="{FF2B5EF4-FFF2-40B4-BE49-F238E27FC236}">
              <a16:creationId xmlns:a16="http://schemas.microsoft.com/office/drawing/2014/main" id="{726EC6AA-DA28-6536-3378-77A57018A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686925" y="1219200"/>
          <a:ext cx="8400000" cy="52190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</xdr:colOff>
      <xdr:row>3</xdr:row>
      <xdr:rowOff>19050</xdr:rowOff>
    </xdr:from>
    <xdr:to>
      <xdr:col>3</xdr:col>
      <xdr:colOff>476250</xdr:colOff>
      <xdr:row>17</xdr:row>
      <xdr:rowOff>123825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3" name="Équipe 1">
              <a:extLst>
                <a:ext uri="{FF2B5EF4-FFF2-40B4-BE49-F238E27FC236}">
                  <a16:creationId xmlns:a16="http://schemas.microsoft.com/office/drawing/2014/main" id="{F884AB50-1C47-45DE-AC18-05AF38288F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Équip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4850" y="885825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676275</xdr:colOff>
      <xdr:row>3</xdr:row>
      <xdr:rowOff>47625</xdr:rowOff>
    </xdr:from>
    <xdr:to>
      <xdr:col>6</xdr:col>
      <xdr:colOff>447675</xdr:colOff>
      <xdr:row>18</xdr:row>
      <xdr:rowOff>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4" name="Indicateur 1">
              <a:extLst>
                <a:ext uri="{FF2B5EF4-FFF2-40B4-BE49-F238E27FC236}">
                  <a16:creationId xmlns:a16="http://schemas.microsoft.com/office/drawing/2014/main" id="{7FF548E9-11DF-4FDC-970E-EFE9CB2189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dicateu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675" y="9144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590550</xdr:colOff>
      <xdr:row>3</xdr:row>
      <xdr:rowOff>47625</xdr:rowOff>
    </xdr:from>
    <xdr:to>
      <xdr:col>9</xdr:col>
      <xdr:colOff>361950</xdr:colOff>
      <xdr:row>18</xdr:row>
      <xdr:rowOff>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5" name="Année 1">
              <a:extLst>
                <a:ext uri="{FF2B5EF4-FFF2-40B4-BE49-F238E27FC236}">
                  <a16:creationId xmlns:a16="http://schemas.microsoft.com/office/drawing/2014/main" id="{A9BFE020-9972-4573-A437-5AE7326A00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é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5350" y="9144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>
    <xdr:from>
      <xdr:col>1</xdr:col>
      <xdr:colOff>28575</xdr:colOff>
      <xdr:row>20</xdr:row>
      <xdr:rowOff>47625</xdr:rowOff>
    </xdr:from>
    <xdr:to>
      <xdr:col>15</xdr:col>
      <xdr:colOff>28575</xdr:colOff>
      <xdr:row>54</xdr:row>
      <xdr:rowOff>47625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AA106FA8-A9F7-4E4B-AB3E-C45630840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Q_Demo_03-mieu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P_Recolte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05DC8FD5-C4D1-4D5C-BD1E-B15CDD3ED503}" autoFormatId="16" applyNumberFormats="0" applyBorderFormats="0" applyFontFormats="0" applyPatternFormats="0" applyAlignmentFormats="0" applyWidthHeightFormats="0">
  <queryTableRefresh nextId="41">
    <queryTableFields count="8">
      <queryTableField id="33" name="N° Indicateur" tableColumnId="1"/>
      <queryTableField id="34" name="Équipe" tableColumnId="2"/>
      <queryTableField id="35" name="Indicateur" tableColumnId="3"/>
      <queryTableField id="36" name="Descriptif indicateur" tableColumnId="4"/>
      <queryTableField id="37" name="Date" tableColumnId="5"/>
      <queryTableField id="38" name="Valeur" tableColumnId="6"/>
      <queryTableField id="39" name="Année" tableColumnId="7"/>
      <queryTableField id="40" name="Trimestre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Équipe" xr10:uid="{773F07ED-BD82-4DDF-B602-B61EC366C072}" sourceName="Équip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Indicateur" xr10:uid="{5FA84EBF-DB07-433C-BBFD-65499FB8B259}" sourceName="Indicateur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nnée" xr10:uid="{9F4DB696-6809-4026-A97E-8215E4A38FA7}" sourceName="Année">
  <extLst>
    <x:ext xmlns:x15="http://schemas.microsoft.com/office/spreadsheetml/2010/11/main" uri="{2F2917AC-EB37-4324-AD4E-5DD8C200BD13}">
      <x15:tableSlicerCache tableId="1" column="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Équipe 1" xr10:uid="{AA86F4E5-375B-4B7F-9EB0-AFE7C11C5323}" cache="Segment_Équipe" caption="Équipe" rowHeight="209550"/>
  <slicer name="Indicateur 1" xr10:uid="{6A4648FC-75E6-4751-82AF-C3D1ACF46842}" cache="Segment_Indicateur" caption="Indicateur" rowHeight="209550"/>
  <slicer name="Année 1" xr10:uid="{207F924A-96F0-40C0-8BAC-2F03F113F7E9}" cache="Segment_Année" caption="Année" rowHeight="2095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9E059-137D-498E-A322-61F9F71A6F70}" name="TBL_USEP" displayName="TBL_USEP" ref="A1:H96" tableType="queryTable" totalsRowShown="0">
  <autoFilter ref="A1:H96" xr:uid="{33B9E059-137D-498E-A322-61F9F71A6F70}">
    <filterColumn colId="2">
      <filters>
        <filter val="Bâtiment : Entrées physiques (nombre)"/>
      </filters>
    </filterColumn>
  </autoFilter>
  <tableColumns count="8">
    <tableColumn id="1" xr3:uid="{0F66D3A9-234A-4160-8258-A88E37280EFC}" uniqueName="1" name="N° Indicateur" queryTableFieldId="33"/>
    <tableColumn id="2" xr3:uid="{5FA5656A-68E5-4D5C-A577-2A79E5067D98}" uniqueName="2" name="Équipe" queryTableFieldId="34"/>
    <tableColumn id="3" xr3:uid="{48D41A36-B144-49F1-9BED-2AB24FEECA01}" uniqueName="3" name="Indicateur" queryTableFieldId="35"/>
    <tableColumn id="4" xr3:uid="{862370D0-F8C1-419C-9EB8-90DC69C378AA}" uniqueName="4" name="Descriptif indicateur" queryTableFieldId="36"/>
    <tableColumn id="5" xr3:uid="{A492381D-1E31-4D09-B92A-42120112A82C}" uniqueName="5" name="Date" queryTableFieldId="37" dataDxfId="1"/>
    <tableColumn id="6" xr3:uid="{99581C3A-C980-40D7-B8E7-DA35C5FDBBEC}" uniqueName="6" name="Valeur" queryTableFieldId="38" dataDxfId="0"/>
    <tableColumn id="7" xr3:uid="{CA3958BF-BD7A-4B32-93D6-8ED9CA9F74F9}" uniqueName="7" name="Année" queryTableFieldId="39"/>
    <tableColumn id="8" xr3:uid="{4134FAD0-E48D-43B1-983B-537AD01FCF6F}" uniqueName="8" name="Trimestre" queryTableFieldId="4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EPFL-SISB-Officiel">
      <a:dk1>
        <a:srgbClr val="413C3A"/>
      </a:dk1>
      <a:lt1>
        <a:srgbClr val="FFFFFF"/>
      </a:lt1>
      <a:dk2>
        <a:srgbClr val="413C3A"/>
      </a:dk2>
      <a:lt2>
        <a:srgbClr val="CAC7C7"/>
      </a:lt2>
      <a:accent1>
        <a:srgbClr val="E30613"/>
      </a:accent1>
      <a:accent2>
        <a:srgbClr val="00A79F"/>
      </a:accent2>
      <a:accent3>
        <a:srgbClr val="413C3A"/>
      </a:accent3>
      <a:accent4>
        <a:srgbClr val="007480"/>
      </a:accent4>
      <a:accent5>
        <a:srgbClr val="F39869"/>
      </a:accent5>
      <a:accent6>
        <a:srgbClr val="B51F1F"/>
      </a:accent6>
      <a:hlink>
        <a:srgbClr val="ED6E9C"/>
      </a:hlink>
      <a:folHlink>
        <a:srgbClr val="4F8FC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F2978-493E-4A13-B2FD-4F12A8C5743D}">
  <dimension ref="A1:O96"/>
  <sheetViews>
    <sheetView showGridLines="0" topLeftCell="C1" workbookViewId="0">
      <selection activeCell="O1" sqref="O1"/>
    </sheetView>
  </sheetViews>
  <sheetFormatPr baseColWidth="10" defaultRowHeight="12" x14ac:dyDescent="0.2"/>
  <cols>
    <col min="1" max="1" width="15.83203125" bestFit="1" customWidth="1"/>
    <col min="2" max="2" width="10" bestFit="1" customWidth="1"/>
    <col min="3" max="3" width="55.5" bestFit="1" customWidth="1"/>
    <col min="4" max="4" width="81.33203125" bestFit="1" customWidth="1"/>
    <col min="5" max="5" width="10.1640625" bestFit="1" customWidth="1"/>
    <col min="6" max="6" width="9.6640625" bestFit="1" customWidth="1"/>
    <col min="7" max="7" width="9.5" style="3" bestFit="1" customWidth="1"/>
    <col min="8" max="8" width="12.33203125" style="3" bestFit="1" customWidth="1"/>
    <col min="9" max="10" width="15.1640625" bestFit="1" customWidth="1"/>
    <col min="11" max="11" width="7.6640625" bestFit="1" customWidth="1"/>
    <col min="12" max="12" width="10.33203125" bestFit="1" customWidth="1"/>
    <col min="13" max="13" width="15.83203125" bestFit="1" customWidth="1"/>
    <col min="14" max="14" width="10" bestFit="1" customWidth="1"/>
    <col min="15" max="15" width="55.5" bestFit="1" customWidth="1"/>
    <col min="16" max="16" width="81.33203125" bestFit="1" customWidth="1"/>
    <col min="17" max="17" width="10.1640625" bestFit="1" customWidth="1"/>
    <col min="18" max="18" width="9.83203125" bestFit="1" customWidth="1"/>
    <col min="19" max="19" width="10.33203125" bestFit="1" customWidth="1"/>
    <col min="20" max="21" width="9.1640625" bestFit="1" customWidth="1"/>
    <col min="22" max="22" width="9" bestFit="1" customWidth="1"/>
    <col min="23" max="23" width="9.1640625" bestFit="1" customWidth="1"/>
    <col min="24" max="24" width="9.83203125" bestFit="1" customWidth="1"/>
    <col min="25" max="25" width="10.33203125" bestFit="1" customWidth="1"/>
    <col min="26" max="26" width="9.33203125" bestFit="1" customWidth="1"/>
    <col min="27" max="27" width="9.6640625" bestFit="1" customWidth="1"/>
    <col min="28" max="28" width="9.83203125" bestFit="1" customWidth="1"/>
    <col min="29" max="29" width="10.1640625" bestFit="1" customWidth="1"/>
    <col min="30" max="30" width="9.83203125" bestFit="1" customWidth="1"/>
    <col min="31" max="31" width="10.33203125" bestFit="1" customWidth="1"/>
    <col min="32" max="33" width="9.1640625" bestFit="1" customWidth="1"/>
    <col min="34" max="34" width="9" bestFit="1" customWidth="1"/>
    <col min="35" max="35" width="9.1640625" bestFit="1" customWidth="1"/>
    <col min="36" max="36" width="9.83203125" bestFit="1" customWidth="1"/>
    <col min="37" max="37" width="10.33203125" bestFit="1" customWidth="1"/>
    <col min="38" max="38" width="9.33203125" bestFit="1" customWidth="1"/>
    <col min="39" max="39" width="9.6640625" bestFit="1" customWidth="1"/>
    <col min="40" max="40" width="9.832031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</v>
      </c>
      <c r="H1" t="s">
        <v>20</v>
      </c>
      <c r="N1" s="4" t="s">
        <v>21</v>
      </c>
      <c r="O1" t="str" cm="1">
        <f t="array" aca="1" ref="O1" ca="1">IFERROR(INDEX(_xlfn._xlws.FILTER(TBL_USEP[Indicateur],SUBTOTAL(103,OFFSET(INDEX(TBL_USEP[Indicateur],1),ROW(TBL_USEP[Indicateur])-ROW(INDEX(TBL_USEP[Indicateur],1)),0))=1),1),"Aucun indicateur")</f>
        <v>Bâtiment : Entrées physiques (nombre)</v>
      </c>
    </row>
    <row r="2" spans="1:15" x14ac:dyDescent="0.2">
      <c r="A2" t="s">
        <v>6</v>
      </c>
      <c r="B2" t="s">
        <v>7</v>
      </c>
      <c r="C2" t="s">
        <v>8</v>
      </c>
      <c r="D2" t="s">
        <v>9</v>
      </c>
      <c r="E2" s="1">
        <v>46053</v>
      </c>
      <c r="F2" s="2">
        <v>151902</v>
      </c>
      <c r="G2">
        <v>2026</v>
      </c>
      <c r="H2">
        <v>1</v>
      </c>
    </row>
    <row r="3" spans="1:15" x14ac:dyDescent="0.2">
      <c r="A3" t="s">
        <v>6</v>
      </c>
      <c r="B3" t="s">
        <v>7</v>
      </c>
      <c r="C3" t="s">
        <v>8</v>
      </c>
      <c r="D3" t="s">
        <v>9</v>
      </c>
      <c r="E3" s="1">
        <v>46081</v>
      </c>
      <c r="F3" s="2">
        <v>50727</v>
      </c>
      <c r="G3">
        <v>2026</v>
      </c>
      <c r="H3">
        <v>1</v>
      </c>
    </row>
    <row r="4" spans="1:15" x14ac:dyDescent="0.2">
      <c r="A4" t="s">
        <v>6</v>
      </c>
      <c r="B4" t="s">
        <v>7</v>
      </c>
      <c r="C4" t="s">
        <v>8</v>
      </c>
      <c r="D4" t="s">
        <v>9</v>
      </c>
      <c r="E4" s="1">
        <v>46112</v>
      </c>
      <c r="F4" s="2">
        <v>175830</v>
      </c>
      <c r="G4">
        <v>2026</v>
      </c>
      <c r="H4">
        <v>1</v>
      </c>
    </row>
    <row r="5" spans="1:15" x14ac:dyDescent="0.2">
      <c r="A5" t="s">
        <v>6</v>
      </c>
      <c r="B5" t="s">
        <v>7</v>
      </c>
      <c r="C5" t="s">
        <v>8</v>
      </c>
      <c r="D5" t="s">
        <v>9</v>
      </c>
      <c r="E5" s="1">
        <v>46142</v>
      </c>
      <c r="F5" s="2">
        <v>172017</v>
      </c>
      <c r="G5">
        <v>2026</v>
      </c>
      <c r="H5">
        <v>2</v>
      </c>
    </row>
    <row r="6" spans="1:15" x14ac:dyDescent="0.2">
      <c r="A6" t="s">
        <v>6</v>
      </c>
      <c r="B6" t="s">
        <v>7</v>
      </c>
      <c r="C6" t="s">
        <v>8</v>
      </c>
      <c r="D6" t="s">
        <v>9</v>
      </c>
      <c r="E6" s="1">
        <v>46173</v>
      </c>
      <c r="F6" s="2">
        <v>210289</v>
      </c>
      <c r="G6">
        <v>2026</v>
      </c>
      <c r="H6">
        <v>2</v>
      </c>
    </row>
    <row r="7" spans="1:15" x14ac:dyDescent="0.2">
      <c r="A7" t="s">
        <v>6</v>
      </c>
      <c r="B7" t="s">
        <v>7</v>
      </c>
      <c r="C7" t="s">
        <v>8</v>
      </c>
      <c r="D7" t="s">
        <v>9</v>
      </c>
      <c r="E7" s="1">
        <v>46203</v>
      </c>
      <c r="F7" s="2">
        <v>169129</v>
      </c>
      <c r="G7">
        <v>2026</v>
      </c>
      <c r="H7">
        <v>2</v>
      </c>
    </row>
    <row r="8" spans="1:15" x14ac:dyDescent="0.2">
      <c r="A8" t="s">
        <v>6</v>
      </c>
      <c r="B8" t="s">
        <v>7</v>
      </c>
      <c r="C8" t="s">
        <v>8</v>
      </c>
      <c r="D8" t="s">
        <v>9</v>
      </c>
      <c r="E8" s="1">
        <v>46234</v>
      </c>
      <c r="F8" s="2">
        <v>28845</v>
      </c>
      <c r="G8">
        <v>2026</v>
      </c>
      <c r="H8">
        <v>3</v>
      </c>
    </row>
    <row r="9" spans="1:15" x14ac:dyDescent="0.2">
      <c r="A9" t="s">
        <v>6</v>
      </c>
      <c r="B9" t="s">
        <v>7</v>
      </c>
      <c r="C9" t="s">
        <v>8</v>
      </c>
      <c r="D9" t="s">
        <v>9</v>
      </c>
      <c r="E9" s="1">
        <v>46265</v>
      </c>
      <c r="F9" s="2">
        <v>39741</v>
      </c>
      <c r="G9">
        <v>2026</v>
      </c>
      <c r="H9">
        <v>3</v>
      </c>
    </row>
    <row r="10" spans="1:15" hidden="1" x14ac:dyDescent="0.2">
      <c r="A10" t="s">
        <v>10</v>
      </c>
      <c r="B10" t="s">
        <v>11</v>
      </c>
      <c r="C10" t="s">
        <v>12</v>
      </c>
      <c r="D10" t="s">
        <v>13</v>
      </c>
      <c r="E10" s="1">
        <v>46053</v>
      </c>
      <c r="F10" s="2">
        <v>5252</v>
      </c>
      <c r="G10">
        <v>2026</v>
      </c>
      <c r="H10">
        <v>1</v>
      </c>
    </row>
    <row r="11" spans="1:15" hidden="1" x14ac:dyDescent="0.2">
      <c r="A11" t="s">
        <v>10</v>
      </c>
      <c r="B11" t="s">
        <v>11</v>
      </c>
      <c r="C11" t="s">
        <v>12</v>
      </c>
      <c r="D11" t="s">
        <v>13</v>
      </c>
      <c r="E11" s="1">
        <v>46081</v>
      </c>
      <c r="F11" s="2">
        <v>7084</v>
      </c>
      <c r="G11">
        <v>2026</v>
      </c>
      <c r="H11">
        <v>1</v>
      </c>
    </row>
    <row r="12" spans="1:15" hidden="1" x14ac:dyDescent="0.2">
      <c r="A12" t="s">
        <v>10</v>
      </c>
      <c r="B12" t="s">
        <v>11</v>
      </c>
      <c r="C12" t="s">
        <v>12</v>
      </c>
      <c r="D12" t="s">
        <v>13</v>
      </c>
      <c r="E12" s="1">
        <v>46112</v>
      </c>
      <c r="F12" s="2">
        <v>7262</v>
      </c>
      <c r="G12">
        <v>2026</v>
      </c>
      <c r="H12">
        <v>1</v>
      </c>
    </row>
    <row r="13" spans="1:15" hidden="1" x14ac:dyDescent="0.2">
      <c r="A13" t="s">
        <v>10</v>
      </c>
      <c r="B13" t="s">
        <v>11</v>
      </c>
      <c r="C13" t="s">
        <v>12</v>
      </c>
      <c r="D13" t="s">
        <v>13</v>
      </c>
      <c r="E13" s="1">
        <v>46142</v>
      </c>
      <c r="F13" s="2">
        <v>5243</v>
      </c>
      <c r="G13">
        <v>2026</v>
      </c>
      <c r="H13">
        <v>2</v>
      </c>
    </row>
    <row r="14" spans="1:15" hidden="1" x14ac:dyDescent="0.2">
      <c r="A14" t="s">
        <v>10</v>
      </c>
      <c r="B14" t="s">
        <v>11</v>
      </c>
      <c r="C14" t="s">
        <v>12</v>
      </c>
      <c r="D14" t="s">
        <v>13</v>
      </c>
      <c r="E14" s="1">
        <v>46173</v>
      </c>
      <c r="F14" s="2">
        <v>4215</v>
      </c>
      <c r="G14">
        <v>2026</v>
      </c>
      <c r="H14">
        <v>2</v>
      </c>
    </row>
    <row r="15" spans="1:15" hidden="1" x14ac:dyDescent="0.2">
      <c r="A15" t="s">
        <v>10</v>
      </c>
      <c r="B15" t="s">
        <v>11</v>
      </c>
      <c r="C15" t="s">
        <v>12</v>
      </c>
      <c r="D15" t="s">
        <v>13</v>
      </c>
      <c r="E15" s="1">
        <v>46203</v>
      </c>
      <c r="F15" s="2">
        <v>3141</v>
      </c>
      <c r="G15">
        <v>2026</v>
      </c>
      <c r="H15">
        <v>2</v>
      </c>
    </row>
    <row r="16" spans="1:15" hidden="1" x14ac:dyDescent="0.2">
      <c r="A16" t="s">
        <v>10</v>
      </c>
      <c r="B16" t="s">
        <v>11</v>
      </c>
      <c r="C16" t="s">
        <v>12</v>
      </c>
      <c r="D16" t="s">
        <v>13</v>
      </c>
      <c r="E16" s="1">
        <v>46234</v>
      </c>
      <c r="F16" s="2">
        <v>1639</v>
      </c>
      <c r="G16">
        <v>2026</v>
      </c>
      <c r="H16">
        <v>3</v>
      </c>
    </row>
    <row r="17" spans="1:8" hidden="1" x14ac:dyDescent="0.2">
      <c r="A17" t="s">
        <v>14</v>
      </c>
      <c r="B17" t="s">
        <v>7</v>
      </c>
      <c r="C17" t="s">
        <v>15</v>
      </c>
      <c r="D17" t="s">
        <v>16</v>
      </c>
      <c r="E17" s="1">
        <v>46053</v>
      </c>
      <c r="F17" s="2">
        <v>1505</v>
      </c>
      <c r="G17">
        <v>2026</v>
      </c>
      <c r="H17">
        <v>1</v>
      </c>
    </row>
    <row r="18" spans="1:8" hidden="1" x14ac:dyDescent="0.2">
      <c r="A18" t="s">
        <v>14</v>
      </c>
      <c r="B18" t="s">
        <v>7</v>
      </c>
      <c r="C18" t="s">
        <v>15</v>
      </c>
      <c r="D18" t="s">
        <v>16</v>
      </c>
      <c r="E18" s="1">
        <v>46081</v>
      </c>
      <c r="F18" s="2">
        <v>1224</v>
      </c>
      <c r="G18">
        <v>2026</v>
      </c>
      <c r="H18">
        <v>1</v>
      </c>
    </row>
    <row r="19" spans="1:8" hidden="1" x14ac:dyDescent="0.2">
      <c r="A19" t="s">
        <v>14</v>
      </c>
      <c r="B19" t="s">
        <v>7</v>
      </c>
      <c r="C19" t="s">
        <v>15</v>
      </c>
      <c r="D19" t="s">
        <v>16</v>
      </c>
      <c r="E19" s="1">
        <v>46112</v>
      </c>
      <c r="F19" s="2">
        <v>1970</v>
      </c>
      <c r="G19">
        <v>2026</v>
      </c>
      <c r="H19">
        <v>1</v>
      </c>
    </row>
    <row r="20" spans="1:8" hidden="1" x14ac:dyDescent="0.2">
      <c r="A20" t="s">
        <v>14</v>
      </c>
      <c r="B20" t="s">
        <v>7</v>
      </c>
      <c r="C20" t="s">
        <v>15</v>
      </c>
      <c r="D20" t="s">
        <v>16</v>
      </c>
      <c r="E20" s="1">
        <v>46142</v>
      </c>
      <c r="F20" s="2">
        <v>1546</v>
      </c>
      <c r="G20">
        <v>2026</v>
      </c>
      <c r="H20">
        <v>2</v>
      </c>
    </row>
    <row r="21" spans="1:8" hidden="1" x14ac:dyDescent="0.2">
      <c r="A21" t="s">
        <v>14</v>
      </c>
      <c r="B21" t="s">
        <v>7</v>
      </c>
      <c r="C21" t="s">
        <v>15</v>
      </c>
      <c r="D21" t="s">
        <v>16</v>
      </c>
      <c r="E21" s="1">
        <v>46173</v>
      </c>
      <c r="F21" s="2">
        <v>1667</v>
      </c>
      <c r="G21">
        <v>2026</v>
      </c>
      <c r="H21">
        <v>2</v>
      </c>
    </row>
    <row r="22" spans="1:8" hidden="1" x14ac:dyDescent="0.2">
      <c r="A22" t="s">
        <v>14</v>
      </c>
      <c r="B22" t="s">
        <v>7</v>
      </c>
      <c r="C22" t="s">
        <v>15</v>
      </c>
      <c r="D22" t="s">
        <v>16</v>
      </c>
      <c r="E22" s="1">
        <v>46203</v>
      </c>
      <c r="F22" s="2">
        <v>1518</v>
      </c>
      <c r="G22">
        <v>2026</v>
      </c>
      <c r="H22">
        <v>2</v>
      </c>
    </row>
    <row r="23" spans="1:8" hidden="1" x14ac:dyDescent="0.2">
      <c r="A23" t="s">
        <v>14</v>
      </c>
      <c r="B23" t="s">
        <v>7</v>
      </c>
      <c r="C23" t="s">
        <v>15</v>
      </c>
      <c r="D23" t="s">
        <v>16</v>
      </c>
      <c r="E23" s="1">
        <v>46234</v>
      </c>
      <c r="F23" s="2">
        <v>825</v>
      </c>
      <c r="G23">
        <v>2026</v>
      </c>
      <c r="H23">
        <v>3</v>
      </c>
    </row>
    <row r="24" spans="1:8" hidden="1" x14ac:dyDescent="0.2">
      <c r="A24" t="s">
        <v>14</v>
      </c>
      <c r="B24" t="s">
        <v>7</v>
      </c>
      <c r="C24" t="s">
        <v>15</v>
      </c>
      <c r="D24" t="s">
        <v>16</v>
      </c>
      <c r="E24" s="1">
        <v>46265</v>
      </c>
      <c r="F24" s="2">
        <v>792</v>
      </c>
      <c r="G24">
        <v>2026</v>
      </c>
      <c r="H24">
        <v>3</v>
      </c>
    </row>
    <row r="25" spans="1:8" x14ac:dyDescent="0.2">
      <c r="A25" t="s">
        <v>6</v>
      </c>
      <c r="B25" t="s">
        <v>7</v>
      </c>
      <c r="C25" t="s">
        <v>8</v>
      </c>
      <c r="D25" t="s">
        <v>9</v>
      </c>
      <c r="E25" s="1">
        <v>45688</v>
      </c>
      <c r="F25" s="2">
        <v>148031</v>
      </c>
      <c r="G25">
        <v>2025</v>
      </c>
      <c r="H25">
        <v>1</v>
      </c>
    </row>
    <row r="26" spans="1:8" x14ac:dyDescent="0.2">
      <c r="A26" t="s">
        <v>6</v>
      </c>
      <c r="B26" t="s">
        <v>7</v>
      </c>
      <c r="C26" t="s">
        <v>8</v>
      </c>
      <c r="D26" t="s">
        <v>9</v>
      </c>
      <c r="E26" s="1">
        <v>45716</v>
      </c>
      <c r="F26" s="2">
        <v>57373</v>
      </c>
      <c r="G26">
        <v>2025</v>
      </c>
      <c r="H26">
        <v>1</v>
      </c>
    </row>
    <row r="27" spans="1:8" x14ac:dyDescent="0.2">
      <c r="A27" t="s">
        <v>6</v>
      </c>
      <c r="B27" t="s">
        <v>7</v>
      </c>
      <c r="C27" t="s">
        <v>8</v>
      </c>
      <c r="D27" t="s">
        <v>9</v>
      </c>
      <c r="E27" s="1">
        <v>45747</v>
      </c>
      <c r="F27" s="2">
        <v>134426</v>
      </c>
      <c r="G27">
        <v>2025</v>
      </c>
      <c r="H27">
        <v>1</v>
      </c>
    </row>
    <row r="28" spans="1:8" x14ac:dyDescent="0.2">
      <c r="A28" t="s">
        <v>6</v>
      </c>
      <c r="B28" t="s">
        <v>7</v>
      </c>
      <c r="C28" t="s">
        <v>8</v>
      </c>
      <c r="D28" t="s">
        <v>9</v>
      </c>
      <c r="E28" s="1">
        <v>45777</v>
      </c>
      <c r="F28" s="2">
        <v>107901</v>
      </c>
      <c r="G28">
        <v>2025</v>
      </c>
      <c r="H28">
        <v>2</v>
      </c>
    </row>
    <row r="29" spans="1:8" x14ac:dyDescent="0.2">
      <c r="A29" t="s">
        <v>6</v>
      </c>
      <c r="B29" t="s">
        <v>7</v>
      </c>
      <c r="C29" t="s">
        <v>8</v>
      </c>
      <c r="D29" t="s">
        <v>9</v>
      </c>
      <c r="E29" s="1">
        <v>45808</v>
      </c>
      <c r="F29" s="2">
        <v>173573</v>
      </c>
      <c r="G29">
        <v>2025</v>
      </c>
      <c r="H29">
        <v>2</v>
      </c>
    </row>
    <row r="30" spans="1:8" x14ac:dyDescent="0.2">
      <c r="A30" t="s">
        <v>6</v>
      </c>
      <c r="B30" t="s">
        <v>7</v>
      </c>
      <c r="C30" t="s">
        <v>8</v>
      </c>
      <c r="D30" t="s">
        <v>9</v>
      </c>
      <c r="E30" s="1">
        <v>45838</v>
      </c>
      <c r="F30" s="2">
        <v>148336</v>
      </c>
      <c r="G30">
        <v>2025</v>
      </c>
      <c r="H30">
        <v>2</v>
      </c>
    </row>
    <row r="31" spans="1:8" x14ac:dyDescent="0.2">
      <c r="A31" t="s">
        <v>6</v>
      </c>
      <c r="B31" t="s">
        <v>7</v>
      </c>
      <c r="C31" t="s">
        <v>8</v>
      </c>
      <c r="D31" t="s">
        <v>9</v>
      </c>
      <c r="E31" s="1">
        <v>45869</v>
      </c>
      <c r="F31" s="2">
        <v>30661</v>
      </c>
      <c r="G31">
        <v>2025</v>
      </c>
      <c r="H31">
        <v>3</v>
      </c>
    </row>
    <row r="32" spans="1:8" x14ac:dyDescent="0.2">
      <c r="A32" t="s">
        <v>6</v>
      </c>
      <c r="B32" t="s">
        <v>7</v>
      </c>
      <c r="C32" t="s">
        <v>8</v>
      </c>
      <c r="D32" t="s">
        <v>9</v>
      </c>
      <c r="E32" s="1">
        <v>45900</v>
      </c>
      <c r="F32" s="2">
        <v>53610</v>
      </c>
      <c r="G32">
        <v>2025</v>
      </c>
      <c r="H32">
        <v>3</v>
      </c>
    </row>
    <row r="33" spans="1:8" x14ac:dyDescent="0.2">
      <c r="A33" t="s">
        <v>6</v>
      </c>
      <c r="B33" t="s">
        <v>7</v>
      </c>
      <c r="C33" t="s">
        <v>8</v>
      </c>
      <c r="D33" t="s">
        <v>9</v>
      </c>
      <c r="E33" s="1">
        <v>45930</v>
      </c>
      <c r="F33" s="2">
        <v>101592</v>
      </c>
      <c r="G33">
        <v>2025</v>
      </c>
      <c r="H33">
        <v>3</v>
      </c>
    </row>
    <row r="34" spans="1:8" x14ac:dyDescent="0.2">
      <c r="A34" t="s">
        <v>6</v>
      </c>
      <c r="B34" t="s">
        <v>7</v>
      </c>
      <c r="C34" t="s">
        <v>8</v>
      </c>
      <c r="D34" t="s">
        <v>9</v>
      </c>
      <c r="E34" s="1">
        <v>45961</v>
      </c>
      <c r="F34" s="2">
        <v>153372</v>
      </c>
      <c r="G34">
        <v>2025</v>
      </c>
      <c r="H34">
        <v>4</v>
      </c>
    </row>
    <row r="35" spans="1:8" x14ac:dyDescent="0.2">
      <c r="A35" t="s">
        <v>6</v>
      </c>
      <c r="B35" t="s">
        <v>7</v>
      </c>
      <c r="C35" t="s">
        <v>8</v>
      </c>
      <c r="D35" t="s">
        <v>9</v>
      </c>
      <c r="E35" s="1">
        <v>45991</v>
      </c>
      <c r="F35" s="2">
        <v>164814</v>
      </c>
      <c r="G35">
        <v>2025</v>
      </c>
      <c r="H35">
        <v>4</v>
      </c>
    </row>
    <row r="36" spans="1:8" x14ac:dyDescent="0.2">
      <c r="A36" t="s">
        <v>6</v>
      </c>
      <c r="B36" t="s">
        <v>7</v>
      </c>
      <c r="C36" t="s">
        <v>8</v>
      </c>
      <c r="D36" t="s">
        <v>9</v>
      </c>
      <c r="E36" s="1">
        <v>46022</v>
      </c>
      <c r="F36" s="2">
        <v>148897</v>
      </c>
      <c r="G36">
        <v>2025</v>
      </c>
      <c r="H36">
        <v>4</v>
      </c>
    </row>
    <row r="37" spans="1:8" hidden="1" x14ac:dyDescent="0.2">
      <c r="A37" t="s">
        <v>10</v>
      </c>
      <c r="B37" t="s">
        <v>11</v>
      </c>
      <c r="C37" t="s">
        <v>12</v>
      </c>
      <c r="D37" t="s">
        <v>13</v>
      </c>
      <c r="E37" s="1">
        <v>45688</v>
      </c>
      <c r="F37" s="2">
        <v>4946</v>
      </c>
      <c r="G37">
        <v>2025</v>
      </c>
      <c r="H37">
        <v>1</v>
      </c>
    </row>
    <row r="38" spans="1:8" hidden="1" x14ac:dyDescent="0.2">
      <c r="A38" t="s">
        <v>10</v>
      </c>
      <c r="B38" t="s">
        <v>11</v>
      </c>
      <c r="C38" t="s">
        <v>12</v>
      </c>
      <c r="D38" t="s">
        <v>13</v>
      </c>
      <c r="E38" s="1">
        <v>45716</v>
      </c>
      <c r="F38" s="2">
        <v>8369</v>
      </c>
      <c r="G38">
        <v>2025</v>
      </c>
      <c r="H38">
        <v>1</v>
      </c>
    </row>
    <row r="39" spans="1:8" hidden="1" x14ac:dyDescent="0.2">
      <c r="A39" t="s">
        <v>10</v>
      </c>
      <c r="B39" t="s">
        <v>11</v>
      </c>
      <c r="C39" t="s">
        <v>12</v>
      </c>
      <c r="D39" t="s">
        <v>13</v>
      </c>
      <c r="E39" s="1">
        <v>45747</v>
      </c>
      <c r="F39" s="2">
        <v>8414</v>
      </c>
      <c r="G39">
        <v>2025</v>
      </c>
      <c r="H39">
        <v>1</v>
      </c>
    </row>
    <row r="40" spans="1:8" hidden="1" x14ac:dyDescent="0.2">
      <c r="A40" t="s">
        <v>10</v>
      </c>
      <c r="B40" t="s">
        <v>11</v>
      </c>
      <c r="C40" t="s">
        <v>12</v>
      </c>
      <c r="D40" t="s">
        <v>13</v>
      </c>
      <c r="E40" s="1">
        <v>45777</v>
      </c>
      <c r="F40" s="2">
        <v>6173</v>
      </c>
      <c r="G40">
        <v>2025</v>
      </c>
      <c r="H40">
        <v>2</v>
      </c>
    </row>
    <row r="41" spans="1:8" hidden="1" x14ac:dyDescent="0.2">
      <c r="A41" t="s">
        <v>10</v>
      </c>
      <c r="B41" t="s">
        <v>11</v>
      </c>
      <c r="C41" t="s">
        <v>12</v>
      </c>
      <c r="D41" t="s">
        <v>13</v>
      </c>
      <c r="E41" s="1">
        <v>45808</v>
      </c>
      <c r="F41" s="2">
        <v>5662</v>
      </c>
      <c r="G41">
        <v>2025</v>
      </c>
      <c r="H41">
        <v>2</v>
      </c>
    </row>
    <row r="42" spans="1:8" hidden="1" x14ac:dyDescent="0.2">
      <c r="A42" t="s">
        <v>10</v>
      </c>
      <c r="B42" t="s">
        <v>11</v>
      </c>
      <c r="C42" t="s">
        <v>12</v>
      </c>
      <c r="D42" t="s">
        <v>13</v>
      </c>
      <c r="E42" s="1">
        <v>45838</v>
      </c>
      <c r="F42" s="2">
        <v>3943</v>
      </c>
      <c r="G42">
        <v>2025</v>
      </c>
      <c r="H42">
        <v>2</v>
      </c>
    </row>
    <row r="43" spans="1:8" hidden="1" x14ac:dyDescent="0.2">
      <c r="A43" t="s">
        <v>10</v>
      </c>
      <c r="B43" t="s">
        <v>11</v>
      </c>
      <c r="C43" t="s">
        <v>12</v>
      </c>
      <c r="D43" t="s">
        <v>13</v>
      </c>
      <c r="E43" s="1">
        <v>45869</v>
      </c>
      <c r="F43" s="2">
        <v>4367</v>
      </c>
      <c r="G43">
        <v>2025</v>
      </c>
      <c r="H43">
        <v>3</v>
      </c>
    </row>
    <row r="44" spans="1:8" hidden="1" x14ac:dyDescent="0.2">
      <c r="A44" t="s">
        <v>10</v>
      </c>
      <c r="B44" t="s">
        <v>11</v>
      </c>
      <c r="C44" t="s">
        <v>12</v>
      </c>
      <c r="D44" t="s">
        <v>13</v>
      </c>
      <c r="E44" s="1">
        <v>45900</v>
      </c>
      <c r="F44" s="2">
        <v>3866</v>
      </c>
      <c r="G44">
        <v>2025</v>
      </c>
      <c r="H44">
        <v>3</v>
      </c>
    </row>
    <row r="45" spans="1:8" hidden="1" x14ac:dyDescent="0.2">
      <c r="A45" t="s">
        <v>10</v>
      </c>
      <c r="B45" t="s">
        <v>11</v>
      </c>
      <c r="C45" t="s">
        <v>12</v>
      </c>
      <c r="D45" t="s">
        <v>13</v>
      </c>
      <c r="E45" s="1">
        <v>45930</v>
      </c>
      <c r="F45" s="2">
        <v>10765</v>
      </c>
      <c r="G45">
        <v>2025</v>
      </c>
      <c r="H45">
        <v>3</v>
      </c>
    </row>
    <row r="46" spans="1:8" hidden="1" x14ac:dyDescent="0.2">
      <c r="A46" t="s">
        <v>10</v>
      </c>
      <c r="B46" t="s">
        <v>11</v>
      </c>
      <c r="C46" t="s">
        <v>12</v>
      </c>
      <c r="D46" t="s">
        <v>13</v>
      </c>
      <c r="E46" s="1">
        <v>45961</v>
      </c>
      <c r="F46" s="2">
        <v>8073</v>
      </c>
      <c r="G46">
        <v>2025</v>
      </c>
      <c r="H46">
        <v>4</v>
      </c>
    </row>
    <row r="47" spans="1:8" hidden="1" x14ac:dyDescent="0.2">
      <c r="A47" t="s">
        <v>10</v>
      </c>
      <c r="B47" t="s">
        <v>11</v>
      </c>
      <c r="C47" t="s">
        <v>12</v>
      </c>
      <c r="D47" t="s">
        <v>13</v>
      </c>
      <c r="E47" s="1">
        <v>45991</v>
      </c>
      <c r="F47" s="2">
        <v>5748</v>
      </c>
      <c r="G47">
        <v>2025</v>
      </c>
      <c r="H47">
        <v>4</v>
      </c>
    </row>
    <row r="48" spans="1:8" hidden="1" x14ac:dyDescent="0.2">
      <c r="A48" t="s">
        <v>10</v>
      </c>
      <c r="B48" t="s">
        <v>11</v>
      </c>
      <c r="C48" t="s">
        <v>12</v>
      </c>
      <c r="D48" t="s">
        <v>13</v>
      </c>
      <c r="E48" s="1">
        <v>46022</v>
      </c>
      <c r="F48" s="2">
        <v>3919</v>
      </c>
      <c r="G48">
        <v>2025</v>
      </c>
      <c r="H48">
        <v>4</v>
      </c>
    </row>
    <row r="49" spans="1:8" hidden="1" x14ac:dyDescent="0.2">
      <c r="A49" t="s">
        <v>14</v>
      </c>
      <c r="B49" t="s">
        <v>7</v>
      </c>
      <c r="C49" t="s">
        <v>15</v>
      </c>
      <c r="D49" t="s">
        <v>16</v>
      </c>
      <c r="E49" s="1">
        <v>45688</v>
      </c>
      <c r="F49" s="2">
        <v>1121</v>
      </c>
      <c r="G49">
        <v>2025</v>
      </c>
      <c r="H49">
        <v>1</v>
      </c>
    </row>
    <row r="50" spans="1:8" hidden="1" x14ac:dyDescent="0.2">
      <c r="A50" t="s">
        <v>14</v>
      </c>
      <c r="B50" t="s">
        <v>7</v>
      </c>
      <c r="C50" t="s">
        <v>15</v>
      </c>
      <c r="D50" t="s">
        <v>16</v>
      </c>
      <c r="E50" s="1">
        <v>45716</v>
      </c>
      <c r="F50" s="2">
        <v>1082</v>
      </c>
      <c r="G50">
        <v>2025</v>
      </c>
      <c r="H50">
        <v>1</v>
      </c>
    </row>
    <row r="51" spans="1:8" hidden="1" x14ac:dyDescent="0.2">
      <c r="A51" t="s">
        <v>14</v>
      </c>
      <c r="B51" t="s">
        <v>7</v>
      </c>
      <c r="C51" t="s">
        <v>15</v>
      </c>
      <c r="D51" t="s">
        <v>16</v>
      </c>
      <c r="E51" s="1">
        <v>45747</v>
      </c>
      <c r="F51" s="2">
        <v>1417</v>
      </c>
      <c r="G51">
        <v>2025</v>
      </c>
      <c r="H51">
        <v>1</v>
      </c>
    </row>
    <row r="52" spans="1:8" hidden="1" x14ac:dyDescent="0.2">
      <c r="A52" t="s">
        <v>14</v>
      </c>
      <c r="B52" t="s">
        <v>7</v>
      </c>
      <c r="C52" t="s">
        <v>15</v>
      </c>
      <c r="D52" t="s">
        <v>16</v>
      </c>
      <c r="E52" s="1">
        <v>45777</v>
      </c>
      <c r="F52" s="2">
        <v>1287</v>
      </c>
      <c r="G52">
        <v>2025</v>
      </c>
      <c r="H52">
        <v>2</v>
      </c>
    </row>
    <row r="53" spans="1:8" hidden="1" x14ac:dyDescent="0.2">
      <c r="A53" t="s">
        <v>14</v>
      </c>
      <c r="B53" t="s">
        <v>7</v>
      </c>
      <c r="C53" t="s">
        <v>15</v>
      </c>
      <c r="D53" t="s">
        <v>16</v>
      </c>
      <c r="E53" s="1">
        <v>45808</v>
      </c>
      <c r="F53" s="2">
        <v>1409</v>
      </c>
      <c r="G53">
        <v>2025</v>
      </c>
      <c r="H53">
        <v>2</v>
      </c>
    </row>
    <row r="54" spans="1:8" hidden="1" x14ac:dyDescent="0.2">
      <c r="A54" t="s">
        <v>14</v>
      </c>
      <c r="B54" t="s">
        <v>7</v>
      </c>
      <c r="C54" t="s">
        <v>15</v>
      </c>
      <c r="D54" t="s">
        <v>16</v>
      </c>
      <c r="E54" s="1">
        <v>45838</v>
      </c>
      <c r="F54" s="2">
        <v>1154</v>
      </c>
      <c r="G54">
        <v>2025</v>
      </c>
      <c r="H54">
        <v>2</v>
      </c>
    </row>
    <row r="55" spans="1:8" hidden="1" x14ac:dyDescent="0.2">
      <c r="A55" t="s">
        <v>14</v>
      </c>
      <c r="B55" t="s">
        <v>7</v>
      </c>
      <c r="C55" t="s">
        <v>15</v>
      </c>
      <c r="D55" t="s">
        <v>16</v>
      </c>
      <c r="E55" s="1">
        <v>45869</v>
      </c>
      <c r="F55" s="2">
        <v>580</v>
      </c>
      <c r="G55">
        <v>2025</v>
      </c>
      <c r="H55">
        <v>3</v>
      </c>
    </row>
    <row r="56" spans="1:8" hidden="1" x14ac:dyDescent="0.2">
      <c r="A56" t="s">
        <v>14</v>
      </c>
      <c r="B56" t="s">
        <v>7</v>
      </c>
      <c r="C56" t="s">
        <v>15</v>
      </c>
      <c r="D56" t="s">
        <v>16</v>
      </c>
      <c r="E56" s="1">
        <v>45900</v>
      </c>
      <c r="F56" s="2">
        <v>541</v>
      </c>
      <c r="G56">
        <v>2025</v>
      </c>
      <c r="H56">
        <v>3</v>
      </c>
    </row>
    <row r="57" spans="1:8" hidden="1" x14ac:dyDescent="0.2">
      <c r="A57" t="s">
        <v>14</v>
      </c>
      <c r="B57" t="s">
        <v>7</v>
      </c>
      <c r="C57" t="s">
        <v>15</v>
      </c>
      <c r="D57" t="s">
        <v>16</v>
      </c>
      <c r="E57" s="1">
        <v>45930</v>
      </c>
      <c r="F57" s="2">
        <v>1994</v>
      </c>
      <c r="G57">
        <v>2025</v>
      </c>
      <c r="H57">
        <v>3</v>
      </c>
    </row>
    <row r="58" spans="1:8" hidden="1" x14ac:dyDescent="0.2">
      <c r="A58" t="s">
        <v>14</v>
      </c>
      <c r="B58" t="s">
        <v>7</v>
      </c>
      <c r="C58" t="s">
        <v>15</v>
      </c>
      <c r="D58" t="s">
        <v>16</v>
      </c>
      <c r="E58" s="1">
        <v>45961</v>
      </c>
      <c r="F58" s="2">
        <v>2038</v>
      </c>
      <c r="G58">
        <v>2025</v>
      </c>
      <c r="H58">
        <v>4</v>
      </c>
    </row>
    <row r="59" spans="1:8" hidden="1" x14ac:dyDescent="0.2">
      <c r="A59" t="s">
        <v>14</v>
      </c>
      <c r="B59" t="s">
        <v>7</v>
      </c>
      <c r="C59" t="s">
        <v>15</v>
      </c>
      <c r="D59" t="s">
        <v>16</v>
      </c>
      <c r="E59" s="1">
        <v>45991</v>
      </c>
      <c r="F59" s="2">
        <v>1934</v>
      </c>
      <c r="G59">
        <v>2025</v>
      </c>
      <c r="H59">
        <v>4</v>
      </c>
    </row>
    <row r="60" spans="1:8" hidden="1" x14ac:dyDescent="0.2">
      <c r="A60" t="s">
        <v>14</v>
      </c>
      <c r="B60" t="s">
        <v>7</v>
      </c>
      <c r="C60" t="s">
        <v>15</v>
      </c>
      <c r="D60" t="s">
        <v>16</v>
      </c>
      <c r="E60" s="1">
        <v>46022</v>
      </c>
      <c r="F60" s="2">
        <v>1593</v>
      </c>
      <c r="G60">
        <v>2025</v>
      </c>
      <c r="H60">
        <v>4</v>
      </c>
    </row>
    <row r="61" spans="1:8" x14ac:dyDescent="0.2">
      <c r="A61" t="s">
        <v>6</v>
      </c>
      <c r="B61" t="s">
        <v>7</v>
      </c>
      <c r="C61" t="s">
        <v>8</v>
      </c>
      <c r="D61" t="s">
        <v>9</v>
      </c>
      <c r="E61" s="1">
        <v>45322</v>
      </c>
      <c r="F61" s="2">
        <v>154483</v>
      </c>
      <c r="G61">
        <v>2024</v>
      </c>
      <c r="H61">
        <v>1</v>
      </c>
    </row>
    <row r="62" spans="1:8" x14ac:dyDescent="0.2">
      <c r="A62" t="s">
        <v>6</v>
      </c>
      <c r="B62" t="s">
        <v>7</v>
      </c>
      <c r="C62" t="s">
        <v>8</v>
      </c>
      <c r="D62" t="s">
        <v>9</v>
      </c>
      <c r="E62" s="1">
        <v>45351</v>
      </c>
      <c r="F62" s="2">
        <v>54995</v>
      </c>
      <c r="G62">
        <v>2024</v>
      </c>
      <c r="H62">
        <v>1</v>
      </c>
    </row>
    <row r="63" spans="1:8" x14ac:dyDescent="0.2">
      <c r="A63" t="s">
        <v>6</v>
      </c>
      <c r="B63" t="s">
        <v>7</v>
      </c>
      <c r="C63" t="s">
        <v>8</v>
      </c>
      <c r="D63" t="s">
        <v>9</v>
      </c>
      <c r="E63" s="1">
        <v>45382</v>
      </c>
      <c r="F63" s="2">
        <v>121504</v>
      </c>
      <c r="G63">
        <v>2024</v>
      </c>
      <c r="H63">
        <v>1</v>
      </c>
    </row>
    <row r="64" spans="1:8" x14ac:dyDescent="0.2">
      <c r="A64" t="s">
        <v>6</v>
      </c>
      <c r="B64" t="s">
        <v>7</v>
      </c>
      <c r="C64" t="s">
        <v>8</v>
      </c>
      <c r="D64" t="s">
        <v>9</v>
      </c>
      <c r="E64" s="1">
        <v>45412</v>
      </c>
      <c r="F64" s="2">
        <v>141282</v>
      </c>
      <c r="G64">
        <v>2024</v>
      </c>
      <c r="H64">
        <v>2</v>
      </c>
    </row>
    <row r="65" spans="1:8" x14ac:dyDescent="0.2">
      <c r="A65" t="s">
        <v>6</v>
      </c>
      <c r="B65" t="s">
        <v>7</v>
      </c>
      <c r="C65" t="s">
        <v>8</v>
      </c>
      <c r="D65" t="s">
        <v>9</v>
      </c>
      <c r="E65" s="1">
        <v>45443</v>
      </c>
      <c r="F65" s="2">
        <v>166846</v>
      </c>
      <c r="G65">
        <v>2024</v>
      </c>
      <c r="H65">
        <v>2</v>
      </c>
    </row>
    <row r="66" spans="1:8" x14ac:dyDescent="0.2">
      <c r="A66" t="s">
        <v>6</v>
      </c>
      <c r="B66" t="s">
        <v>7</v>
      </c>
      <c r="C66" t="s">
        <v>8</v>
      </c>
      <c r="D66" t="s">
        <v>9</v>
      </c>
      <c r="E66" s="1">
        <v>45473</v>
      </c>
      <c r="F66" s="2">
        <v>142138</v>
      </c>
      <c r="G66">
        <v>2024</v>
      </c>
      <c r="H66">
        <v>2</v>
      </c>
    </row>
    <row r="67" spans="1:8" x14ac:dyDescent="0.2">
      <c r="A67" t="s">
        <v>6</v>
      </c>
      <c r="B67" t="s">
        <v>7</v>
      </c>
      <c r="C67" t="s">
        <v>8</v>
      </c>
      <c r="D67" t="s">
        <v>9</v>
      </c>
      <c r="E67" s="1">
        <v>45504</v>
      </c>
      <c r="F67" s="2">
        <v>34149</v>
      </c>
      <c r="G67">
        <v>2024</v>
      </c>
      <c r="H67">
        <v>3</v>
      </c>
    </row>
    <row r="68" spans="1:8" x14ac:dyDescent="0.2">
      <c r="A68" t="s">
        <v>6</v>
      </c>
      <c r="B68" t="s">
        <v>7</v>
      </c>
      <c r="C68" t="s">
        <v>8</v>
      </c>
      <c r="D68" t="s">
        <v>9</v>
      </c>
      <c r="E68" s="1">
        <v>45535</v>
      </c>
      <c r="F68" s="2">
        <v>42282</v>
      </c>
      <c r="G68">
        <v>2024</v>
      </c>
      <c r="H68">
        <v>3</v>
      </c>
    </row>
    <row r="69" spans="1:8" x14ac:dyDescent="0.2">
      <c r="A69" t="s">
        <v>6</v>
      </c>
      <c r="B69" t="s">
        <v>7</v>
      </c>
      <c r="C69" t="s">
        <v>8</v>
      </c>
      <c r="D69" t="s">
        <v>9</v>
      </c>
      <c r="E69" s="1">
        <v>45565</v>
      </c>
      <c r="F69" s="2">
        <v>102435</v>
      </c>
      <c r="G69">
        <v>2024</v>
      </c>
      <c r="H69">
        <v>3</v>
      </c>
    </row>
    <row r="70" spans="1:8" x14ac:dyDescent="0.2">
      <c r="A70" t="s">
        <v>6</v>
      </c>
      <c r="B70" t="s">
        <v>7</v>
      </c>
      <c r="C70" t="s">
        <v>8</v>
      </c>
      <c r="D70" t="s">
        <v>9</v>
      </c>
      <c r="E70" s="1">
        <v>45596</v>
      </c>
      <c r="F70" s="2">
        <v>152519</v>
      </c>
      <c r="G70">
        <v>2024</v>
      </c>
      <c r="H70">
        <v>4</v>
      </c>
    </row>
    <row r="71" spans="1:8" x14ac:dyDescent="0.2">
      <c r="A71" t="s">
        <v>6</v>
      </c>
      <c r="B71" t="s">
        <v>7</v>
      </c>
      <c r="C71" t="s">
        <v>8</v>
      </c>
      <c r="D71" t="s">
        <v>9</v>
      </c>
      <c r="E71" s="1">
        <v>45626</v>
      </c>
      <c r="F71" s="2">
        <v>162715</v>
      </c>
      <c r="G71">
        <v>2024</v>
      </c>
      <c r="H71">
        <v>4</v>
      </c>
    </row>
    <row r="72" spans="1:8" x14ac:dyDescent="0.2">
      <c r="A72" t="s">
        <v>6</v>
      </c>
      <c r="B72" t="s">
        <v>7</v>
      </c>
      <c r="C72" t="s">
        <v>8</v>
      </c>
      <c r="D72" t="s">
        <v>9</v>
      </c>
      <c r="E72" s="1">
        <v>45657</v>
      </c>
      <c r="F72" s="2">
        <v>146319</v>
      </c>
      <c r="G72">
        <v>2024</v>
      </c>
      <c r="H72">
        <v>4</v>
      </c>
    </row>
    <row r="73" spans="1:8" hidden="1" x14ac:dyDescent="0.2">
      <c r="A73" t="s">
        <v>10</v>
      </c>
      <c r="B73" t="s">
        <v>11</v>
      </c>
      <c r="C73" t="s">
        <v>12</v>
      </c>
      <c r="D73" t="s">
        <v>17</v>
      </c>
      <c r="E73" s="1">
        <v>45322</v>
      </c>
      <c r="F73" s="2">
        <v>7141</v>
      </c>
      <c r="G73">
        <v>2024</v>
      </c>
      <c r="H73">
        <v>1</v>
      </c>
    </row>
    <row r="74" spans="1:8" hidden="1" x14ac:dyDescent="0.2">
      <c r="A74" t="s">
        <v>10</v>
      </c>
      <c r="B74" t="s">
        <v>11</v>
      </c>
      <c r="C74" t="s">
        <v>12</v>
      </c>
      <c r="D74" t="s">
        <v>17</v>
      </c>
      <c r="E74" s="1">
        <v>45351</v>
      </c>
      <c r="F74" s="2">
        <v>10092</v>
      </c>
      <c r="G74">
        <v>2024</v>
      </c>
      <c r="H74">
        <v>1</v>
      </c>
    </row>
    <row r="75" spans="1:8" hidden="1" x14ac:dyDescent="0.2">
      <c r="A75" t="s">
        <v>10</v>
      </c>
      <c r="B75" t="s">
        <v>11</v>
      </c>
      <c r="C75" t="s">
        <v>12</v>
      </c>
      <c r="D75" t="s">
        <v>17</v>
      </c>
      <c r="E75" s="1">
        <v>45382</v>
      </c>
      <c r="F75" s="2">
        <v>9614</v>
      </c>
      <c r="G75">
        <v>2024</v>
      </c>
      <c r="H75">
        <v>1</v>
      </c>
    </row>
    <row r="76" spans="1:8" hidden="1" x14ac:dyDescent="0.2">
      <c r="A76" t="s">
        <v>10</v>
      </c>
      <c r="B76" t="s">
        <v>11</v>
      </c>
      <c r="C76" t="s">
        <v>12</v>
      </c>
      <c r="D76" t="s">
        <v>17</v>
      </c>
      <c r="E76" s="1">
        <v>45412</v>
      </c>
      <c r="F76" s="2">
        <v>8486</v>
      </c>
      <c r="G76">
        <v>2024</v>
      </c>
      <c r="H76">
        <v>2</v>
      </c>
    </row>
    <row r="77" spans="1:8" hidden="1" x14ac:dyDescent="0.2">
      <c r="A77" t="s">
        <v>10</v>
      </c>
      <c r="B77" t="s">
        <v>11</v>
      </c>
      <c r="C77" t="s">
        <v>12</v>
      </c>
      <c r="D77" t="s">
        <v>17</v>
      </c>
      <c r="E77" s="1">
        <v>45443</v>
      </c>
      <c r="F77" s="2">
        <v>7189</v>
      </c>
      <c r="G77">
        <v>2024</v>
      </c>
      <c r="H77">
        <v>2</v>
      </c>
    </row>
    <row r="78" spans="1:8" hidden="1" x14ac:dyDescent="0.2">
      <c r="A78" t="s">
        <v>10</v>
      </c>
      <c r="B78" t="s">
        <v>11</v>
      </c>
      <c r="C78" t="s">
        <v>12</v>
      </c>
      <c r="D78" t="s">
        <v>17</v>
      </c>
      <c r="E78" s="1">
        <v>45473</v>
      </c>
      <c r="F78" s="2">
        <v>5842</v>
      </c>
      <c r="G78">
        <v>2024</v>
      </c>
      <c r="H78">
        <v>2</v>
      </c>
    </row>
    <row r="79" spans="1:8" hidden="1" x14ac:dyDescent="0.2">
      <c r="A79" t="s">
        <v>10</v>
      </c>
      <c r="B79" t="s">
        <v>11</v>
      </c>
      <c r="C79" t="s">
        <v>12</v>
      </c>
      <c r="D79" t="s">
        <v>17</v>
      </c>
      <c r="E79" s="1">
        <v>45504</v>
      </c>
      <c r="F79" s="2">
        <v>5050</v>
      </c>
      <c r="G79">
        <v>2024</v>
      </c>
      <c r="H79">
        <v>3</v>
      </c>
    </row>
    <row r="80" spans="1:8" hidden="1" x14ac:dyDescent="0.2">
      <c r="A80" t="s">
        <v>10</v>
      </c>
      <c r="B80" t="s">
        <v>11</v>
      </c>
      <c r="C80" t="s">
        <v>12</v>
      </c>
      <c r="D80" t="s">
        <v>17</v>
      </c>
      <c r="E80" s="1">
        <v>45535</v>
      </c>
      <c r="F80" s="2">
        <v>4021</v>
      </c>
      <c r="G80">
        <v>2024</v>
      </c>
      <c r="H80">
        <v>3</v>
      </c>
    </row>
    <row r="81" spans="1:8" hidden="1" x14ac:dyDescent="0.2">
      <c r="A81" t="s">
        <v>10</v>
      </c>
      <c r="B81" t="s">
        <v>11</v>
      </c>
      <c r="C81" t="s">
        <v>12</v>
      </c>
      <c r="D81" t="s">
        <v>17</v>
      </c>
      <c r="E81" s="1">
        <v>45565</v>
      </c>
      <c r="F81" s="2">
        <v>11078</v>
      </c>
      <c r="G81">
        <v>2024</v>
      </c>
      <c r="H81">
        <v>3</v>
      </c>
    </row>
    <row r="82" spans="1:8" hidden="1" x14ac:dyDescent="0.2">
      <c r="A82" t="s">
        <v>10</v>
      </c>
      <c r="B82" t="s">
        <v>11</v>
      </c>
      <c r="C82" t="s">
        <v>12</v>
      </c>
      <c r="D82" t="s">
        <v>17</v>
      </c>
      <c r="E82" s="1">
        <v>45596</v>
      </c>
      <c r="F82" s="2">
        <v>9763</v>
      </c>
      <c r="G82">
        <v>2024</v>
      </c>
      <c r="H82">
        <v>4</v>
      </c>
    </row>
    <row r="83" spans="1:8" hidden="1" x14ac:dyDescent="0.2">
      <c r="A83" t="s">
        <v>10</v>
      </c>
      <c r="B83" t="s">
        <v>11</v>
      </c>
      <c r="C83" t="s">
        <v>12</v>
      </c>
      <c r="D83" t="s">
        <v>17</v>
      </c>
      <c r="E83" s="1">
        <v>45626</v>
      </c>
      <c r="F83" s="2">
        <v>7972</v>
      </c>
      <c r="G83">
        <v>2024</v>
      </c>
      <c r="H83">
        <v>4</v>
      </c>
    </row>
    <row r="84" spans="1:8" hidden="1" x14ac:dyDescent="0.2">
      <c r="A84" t="s">
        <v>10</v>
      </c>
      <c r="B84" t="s">
        <v>11</v>
      </c>
      <c r="C84" t="s">
        <v>12</v>
      </c>
      <c r="D84" t="s">
        <v>17</v>
      </c>
      <c r="E84" s="1">
        <v>45657</v>
      </c>
      <c r="F84" s="2">
        <v>5172</v>
      </c>
      <c r="G84">
        <v>2024</v>
      </c>
      <c r="H84">
        <v>4</v>
      </c>
    </row>
    <row r="85" spans="1:8" hidden="1" x14ac:dyDescent="0.2">
      <c r="A85" t="s">
        <v>14</v>
      </c>
      <c r="B85" t="s">
        <v>7</v>
      </c>
      <c r="C85" t="s">
        <v>15</v>
      </c>
      <c r="D85" t="s">
        <v>16</v>
      </c>
      <c r="E85" s="1">
        <v>45322</v>
      </c>
      <c r="F85" s="2">
        <v>1308</v>
      </c>
      <c r="G85">
        <v>2024</v>
      </c>
      <c r="H85">
        <v>1</v>
      </c>
    </row>
    <row r="86" spans="1:8" hidden="1" x14ac:dyDescent="0.2">
      <c r="A86" t="s">
        <v>14</v>
      </c>
      <c r="B86" t="s">
        <v>7</v>
      </c>
      <c r="C86" t="s">
        <v>15</v>
      </c>
      <c r="D86" t="s">
        <v>16</v>
      </c>
      <c r="E86" s="1">
        <v>45351</v>
      </c>
      <c r="F86" s="2">
        <v>1140</v>
      </c>
      <c r="G86">
        <v>2024</v>
      </c>
      <c r="H86">
        <v>1</v>
      </c>
    </row>
    <row r="87" spans="1:8" hidden="1" x14ac:dyDescent="0.2">
      <c r="A87" t="s">
        <v>14</v>
      </c>
      <c r="B87" t="s">
        <v>7</v>
      </c>
      <c r="C87" t="s">
        <v>15</v>
      </c>
      <c r="D87" t="s">
        <v>16</v>
      </c>
      <c r="E87" s="1">
        <v>45382</v>
      </c>
      <c r="F87" s="2">
        <v>1242</v>
      </c>
      <c r="G87">
        <v>2024</v>
      </c>
      <c r="H87">
        <v>1</v>
      </c>
    </row>
    <row r="88" spans="1:8" hidden="1" x14ac:dyDescent="0.2">
      <c r="A88" t="s">
        <v>14</v>
      </c>
      <c r="B88" t="s">
        <v>7</v>
      </c>
      <c r="C88" t="s">
        <v>15</v>
      </c>
      <c r="D88" t="s">
        <v>16</v>
      </c>
      <c r="E88" s="1">
        <v>45412</v>
      </c>
      <c r="F88" s="2">
        <v>1386</v>
      </c>
      <c r="G88">
        <v>2024</v>
      </c>
      <c r="H88">
        <v>2</v>
      </c>
    </row>
    <row r="89" spans="1:8" hidden="1" x14ac:dyDescent="0.2">
      <c r="A89" t="s">
        <v>14</v>
      </c>
      <c r="B89" t="s">
        <v>7</v>
      </c>
      <c r="C89" t="s">
        <v>15</v>
      </c>
      <c r="D89" t="s">
        <v>16</v>
      </c>
      <c r="E89" s="1">
        <v>45443</v>
      </c>
      <c r="F89" s="2">
        <v>1259</v>
      </c>
      <c r="G89">
        <v>2024</v>
      </c>
      <c r="H89">
        <v>2</v>
      </c>
    </row>
    <row r="90" spans="1:8" hidden="1" x14ac:dyDescent="0.2">
      <c r="A90" t="s">
        <v>14</v>
      </c>
      <c r="B90" t="s">
        <v>7</v>
      </c>
      <c r="C90" t="s">
        <v>15</v>
      </c>
      <c r="D90" t="s">
        <v>16</v>
      </c>
      <c r="E90" s="1">
        <v>45473</v>
      </c>
      <c r="F90" s="2">
        <v>1119</v>
      </c>
      <c r="G90">
        <v>2024</v>
      </c>
      <c r="H90">
        <v>2</v>
      </c>
    </row>
    <row r="91" spans="1:8" hidden="1" x14ac:dyDescent="0.2">
      <c r="A91" t="s">
        <v>14</v>
      </c>
      <c r="B91" t="s">
        <v>7</v>
      </c>
      <c r="C91" t="s">
        <v>15</v>
      </c>
      <c r="D91" t="s">
        <v>16</v>
      </c>
      <c r="E91" s="1">
        <v>45504</v>
      </c>
      <c r="F91" s="2">
        <v>667</v>
      </c>
      <c r="G91">
        <v>2024</v>
      </c>
      <c r="H91">
        <v>3</v>
      </c>
    </row>
    <row r="92" spans="1:8" hidden="1" x14ac:dyDescent="0.2">
      <c r="A92" t="s">
        <v>14</v>
      </c>
      <c r="B92" t="s">
        <v>7</v>
      </c>
      <c r="C92" t="s">
        <v>15</v>
      </c>
      <c r="D92" t="s">
        <v>16</v>
      </c>
      <c r="E92" s="1">
        <v>45535</v>
      </c>
      <c r="F92" s="2">
        <v>562</v>
      </c>
      <c r="G92">
        <v>2024</v>
      </c>
      <c r="H92">
        <v>3</v>
      </c>
    </row>
    <row r="93" spans="1:8" hidden="1" x14ac:dyDescent="0.2">
      <c r="A93" t="s">
        <v>14</v>
      </c>
      <c r="B93" t="s">
        <v>7</v>
      </c>
      <c r="C93" t="s">
        <v>15</v>
      </c>
      <c r="D93" t="s">
        <v>16</v>
      </c>
      <c r="E93" s="1">
        <v>45565</v>
      </c>
      <c r="F93" s="2">
        <v>1479</v>
      </c>
      <c r="G93">
        <v>2024</v>
      </c>
      <c r="H93">
        <v>3</v>
      </c>
    </row>
    <row r="94" spans="1:8" hidden="1" x14ac:dyDescent="0.2">
      <c r="A94" t="s">
        <v>14</v>
      </c>
      <c r="B94" t="s">
        <v>7</v>
      </c>
      <c r="C94" t="s">
        <v>15</v>
      </c>
      <c r="D94" t="s">
        <v>16</v>
      </c>
      <c r="E94" s="1">
        <v>45596</v>
      </c>
      <c r="F94" s="2">
        <v>1723</v>
      </c>
      <c r="G94">
        <v>2024</v>
      </c>
      <c r="H94">
        <v>4</v>
      </c>
    </row>
    <row r="95" spans="1:8" hidden="1" x14ac:dyDescent="0.2">
      <c r="A95" t="s">
        <v>14</v>
      </c>
      <c r="B95" t="s">
        <v>7</v>
      </c>
      <c r="C95" t="s">
        <v>15</v>
      </c>
      <c r="D95" t="s">
        <v>16</v>
      </c>
      <c r="E95" s="1">
        <v>45626</v>
      </c>
      <c r="F95" s="2">
        <v>1622</v>
      </c>
      <c r="G95">
        <v>2024</v>
      </c>
      <c r="H95">
        <v>4</v>
      </c>
    </row>
    <row r="96" spans="1:8" hidden="1" x14ac:dyDescent="0.2">
      <c r="A96" t="s">
        <v>14</v>
      </c>
      <c r="B96" t="s">
        <v>7</v>
      </c>
      <c r="C96" t="s">
        <v>15</v>
      </c>
      <c r="D96" t="s">
        <v>16</v>
      </c>
      <c r="E96" s="1">
        <v>45657</v>
      </c>
      <c r="F96" s="2">
        <v>1141</v>
      </c>
      <c r="G96">
        <v>2024</v>
      </c>
      <c r="H96">
        <v>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D529-F809-47A8-B2CD-4E90191E0A3A}">
  <dimension ref="A1"/>
  <sheetViews>
    <sheetView workbookViewId="0">
      <selection activeCell="L53" sqref="L53"/>
    </sheetView>
  </sheetViews>
  <sheetFormatPr baseColWidth="10" defaultRowHeight="12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AB3A-BC4E-4C88-8A62-0EFBB00A75AA}">
  <dimension ref="B2:AF2"/>
  <sheetViews>
    <sheetView showGridLines="0" tabSelected="1" workbookViewId="0">
      <selection activeCell="N12" sqref="N12"/>
    </sheetView>
  </sheetViews>
  <sheetFormatPr baseColWidth="10" defaultRowHeight="12" x14ac:dyDescent="0.2"/>
  <sheetData>
    <row r="2" spans="2:32" ht="44.25" customHeight="1" x14ac:dyDescent="0.2">
      <c r="B2" s="6" t="s">
        <v>18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</sheetData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0B1C55-DA85-4DA8-8CB6-1970F47FB9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TBL_USEP</vt:lpstr>
      <vt:lpstr>IMG</vt:lpstr>
      <vt:lpstr>Feuil3</vt:lpstr>
    </vt:vector>
  </TitlesOfParts>
  <Company>EPFL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2026-10-14T12:04:59Z</dcterms:created>
  <dcterms:modified xsi:type="dcterms:W3CDTF">2026-10-16T14:39:28Z</dcterms:modified>
</cp:coreProperties>
</file>