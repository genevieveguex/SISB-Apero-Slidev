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3/"/>
    </mc:Choice>
  </mc:AlternateContent>
  <xr:revisionPtr revIDLastSave="469" documentId="8_{5F34EE52-DCE0-4901-A6A3-0D0880B71AA8}" xr6:coauthVersionLast="47" xr6:coauthVersionMax="47" xr10:uidLastSave="{C5E09A56-EF8C-4405-9A15-337113D89254}"/>
  <bookViews>
    <workbookView xWindow="-120" yWindow="-120" windowWidth="51840" windowHeight="21120" activeTab="3" xr2:uid="{DA9A51B9-C488-4584-9385-98532516F6AF}"/>
  </bookViews>
  <sheets>
    <sheet name="TBL_USEP" sheetId="4" r:id="rId1"/>
    <sheet name="IMG" sheetId="1" r:id="rId2"/>
    <sheet name="Visualisation" sheetId="3" r:id="rId3"/>
    <sheet name="Tableau Croisé Dynamique" sheetId="5" r:id="rId4"/>
  </sheets>
  <definedNames>
    <definedName name="DonnéesExternes_1" localSheetId="0" hidden="1">TBL_USEP!$A$1:$I$94</definedName>
    <definedName name="Segment_Année">#N/A</definedName>
    <definedName name="Segment_Année1">#N/A</definedName>
    <definedName name="Segment_Équipe">#N/A</definedName>
    <definedName name="Segment_Indicateur">#N/A</definedName>
    <definedName name="Segment_Indicateur1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" i="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86CC00-211F-4C84-92D9-AFE3ABB344A7}" keepAlive="1" name="Requête - TBL_USEP" description="Connexion à la requête « TBL_USEP » dans le classeur." type="5" refreshedVersion="8" background="1" saveData="1">
    <dbPr connection="Provider=Microsoft.Mashup.OleDb.1;Data Source=$Workbook$;Location=TBL_USEP;Extended Properties=&quot;&quot;" command="SELECT * FROM [TBL_USEP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<sst xmlns="http://schemas.openxmlformats.org/spreadsheetml/2006/main" count="427" uniqueCount="46">
  <si>
    <t>N° Indicateur</t>
  </si>
  <si>
    <t>Équipe</t>
  </si>
  <si>
    <t>Indicateur</t>
  </si>
  <si>
    <t>Descriptif indicateur</t>
  </si>
  <si>
    <t>Date</t>
  </si>
  <si>
    <t>Valeur</t>
  </si>
  <si>
    <t>BAT_010</t>
  </si>
  <si>
    <t>ASAP</t>
  </si>
  <si>
    <t>Bâtiment : Entrées physiques (nombre)</t>
  </si>
  <si>
    <t>Nombre d'entrées physiques; 
comptage: total mensuel du système à diviser par deux si comptabilise entrées et sorties</t>
  </si>
  <si>
    <t>USE_010</t>
  </si>
  <si>
    <t>FDOC</t>
  </si>
  <si>
    <t>Usage : Prêts  locaux + PER + PEB avec prolongations (nombre)</t>
  </si>
  <si>
    <t>Nombre de documents du fonds prêtés et sous prolongation durant le mois;
inclus: prêt en réseau, prêt entre bibliothèques; prêts sans prolongation</t>
  </si>
  <si>
    <t>REQ_010</t>
  </si>
  <si>
    <t>Sollicitations : Guichets physiques - demandes (nombre)</t>
  </si>
  <si>
    <t>Nombre de sollicitations au guichet physique durant le mois</t>
  </si>
  <si>
    <t>Nombre de documents du fonds prêtés et sous prolongation durant le mois;
inclus: prêt en réseau, prêt entre bibliothèques; inclus les prêts sans prolongation</t>
  </si>
  <si>
    <t>STATISTIQUES USEP</t>
  </si>
  <si>
    <t>Année</t>
  </si>
  <si>
    <t>Trimestre</t>
  </si>
  <si>
    <t>TITRE</t>
  </si>
  <si>
    <t>Étiquettes de lignes</t>
  </si>
  <si>
    <t>Total général</t>
  </si>
  <si>
    <t>Mois</t>
  </si>
  <si>
    <t>2024</t>
  </si>
  <si>
    <t>2025</t>
  </si>
  <si>
    <t>2026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</si>
  <si>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</si>
  <si>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</si>
  <si>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</si>
  <si>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</si>
  <si>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</si>
  <si>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</si>
  <si>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</si>
  <si>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</si>
  <si>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</si>
  <si>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</si>
  <si>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</si>
  <si>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</si>
  <si>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</t>
  </si>
  <si>
    <t xml:space="preserve">  </t>
  </si>
  <si>
    <t>PCT mois/année</t>
  </si>
  <si>
    <t>PCT Variation</t>
  </si>
  <si>
    <t>Cumul</t>
  </si>
  <si>
    <t>Ranking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</si>
</sst>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9" x14ac:knownFonts="1">
    <font>
      <sz val="9"/>
      <color theme="1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sz val="8"/>
      <name val="Aptos"/>
      <family val="2"/>
    </font>
    <font>
      <b/>
      <sz val="12"/>
      <color theme="0"/>
      <name val="Aptos"/>
      <family val="2"/>
    </font>
    <font>
      <sz val="9"/>
      <color theme="0"/>
      <name val="Aptos"/>
      <family val="2"/>
    </font>
    <font>
      <sz val="9"/>
      <color theme="4" tint="0.79998168889431442"/>
      <name val="Aptos"/>
      <family val="2"/>
    </font>
    <font>
      <sz val="9"/>
      <color rgb="FFFF5050"/>
      <name val="Aptos"/>
      <family val="2"/>
    </font>
    <font>
      <b/>
      <sz val="12"/>
      <color rgb="FFFF505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2" borderId="0" xfId="0" applyFill="1"/>
    <xf numFmtId="0" fontId="4" fillId="2" borderId="0" xfId="0" applyFont="1" applyFill="1" applyAlignment="1">
      <alignment horizontal="left" vertical="center" indent="2"/>
    </xf>
    <xf numFmtId="164" fontId="0" fillId="0" borderId="0" xfId="2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left" indent="2"/>
    </xf>
    <xf numFmtId="164" fontId="5" fillId="0" borderId="0" xfId="0" applyNumberFormat="1" applyFont="1"/>
    <xf numFmtId="164" fontId="6" fillId="0" borderId="0" xfId="0" applyNumberFormat="1" applyFont="1"/>
    <xf numFmtId="10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7" fillId="3" borderId="0" xfId="0" applyFont="1" applyFill="1"/>
    <xf numFmtId="0" fontId="8" fillId="3" borderId="0" xfId="0" applyFont="1" applyFill="1" applyAlignment="1">
      <alignment horizontal="left" vertical="center" indent="2"/>
    </xf>
    <xf numFmtId="0" fontId="7" fillId="0" borderId="0" xfId="0" applyFont="1"/>
    <xf numFmtId="164" fontId="0" fillId="0" borderId="0" xfId="0" applyNumberFormat="1" applyAlignment="1">
      <alignment horizontal="right"/>
    </xf>
  </cellXfs>
  <cellStyles count="3">
    <cellStyle name="Milliers" xfId="2" builtinId="3"/>
    <cellStyle name="Milliers 2" xfId="1" xr:uid="{DFEC5C90-7C8F-459F-977A-E2B0534B5CC3}"/>
    <cellStyle name="Normal" xfId="0" builtinId="0"/>
  </cellStyles>
  <dxfs count="46">
    <dxf>
      <numFmt numFmtId="164" formatCode="_-* #,##0_-;\-* #,##0_-;_-* &quot;-&quot;??_-;_-@_-"/>
    </dxf>
    <dxf>
      <numFmt numFmtId="19" formatCode="dd/mm/yyyy"/>
    </dxf>
    <dxf>
      <alignment horizontal="right"/>
    </dxf>
    <dxf>
      <numFmt numFmtId="0" formatCode="General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wrapText="1"/>
    </dxf>
    <dxf>
      <alignment horizontal="right"/>
    </dxf>
    <dxf>
      <numFmt numFmtId="14" formatCode="0.00%"/>
    </dxf>
    <dxf>
      <numFmt numFmtId="165" formatCode="0.0%"/>
    </dxf>
    <dxf>
      <font>
        <color theme="4" tint="0.79998168889431442"/>
      </font>
    </dxf>
    <dxf>
      <font>
        <color theme="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</dxf>
    <dxf>
      <font>
        <b/>
        <i val="0"/>
        <color rgb="FFFF505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5050"/>
      </font>
      <fill>
        <patternFill patternType="none">
          <bgColor auto="1"/>
        </patternFill>
      </fill>
    </dxf>
    <dxf>
      <font>
        <b/>
        <i val="0"/>
        <color rgb="FFFF5050"/>
      </font>
      <fill>
        <patternFill patternType="none">
          <bgColor auto="1"/>
        </patternFill>
      </fill>
    </dxf>
    <dxf>
      <font>
        <b/>
        <i val="0"/>
        <color rgb="FFFF505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D5D5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sheetMetadata" Target="metadata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TBL_USEP!$P$1</c:f>
          <c:strCache>
            <c:ptCount val="1"/>
            <c:pt idx="0">
              <c:v>Usage : Prêts  locaux + PER + PEB avec prolongations (nombre)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5890170786305787E-2"/>
          <c:y val="0.12254901960784313"/>
          <c:w val="0.92953063769613287"/>
          <c:h val="0.7573400108074724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TBL_USEP!$P$1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TBL_USEP!$E$2:$E$94</c:f>
              <c:numCache>
                <c:formatCode>m/d/yyyy</c:formatCode>
                <c:ptCount val="31"/>
                <c:pt idx="0">
                  <c:v>46234</c:v>
                </c:pt>
                <c:pt idx="1">
                  <c:v>46203</c:v>
                </c:pt>
                <c:pt idx="2">
                  <c:v>46173</c:v>
                </c:pt>
                <c:pt idx="3">
                  <c:v>46142</c:v>
                </c:pt>
                <c:pt idx="4">
                  <c:v>46112</c:v>
                </c:pt>
                <c:pt idx="5">
                  <c:v>46081</c:v>
                </c:pt>
                <c:pt idx="6">
                  <c:v>46053</c:v>
                </c:pt>
                <c:pt idx="7">
                  <c:v>46022</c:v>
                </c:pt>
                <c:pt idx="8">
                  <c:v>45991</c:v>
                </c:pt>
                <c:pt idx="9">
                  <c:v>45961</c:v>
                </c:pt>
                <c:pt idx="10">
                  <c:v>45930</c:v>
                </c:pt>
                <c:pt idx="11">
                  <c:v>45900</c:v>
                </c:pt>
                <c:pt idx="12">
                  <c:v>45869</c:v>
                </c:pt>
                <c:pt idx="13">
                  <c:v>45838</c:v>
                </c:pt>
                <c:pt idx="14">
                  <c:v>45808</c:v>
                </c:pt>
                <c:pt idx="15">
                  <c:v>45777</c:v>
                </c:pt>
                <c:pt idx="16">
                  <c:v>45747</c:v>
                </c:pt>
                <c:pt idx="17">
                  <c:v>45716</c:v>
                </c:pt>
                <c:pt idx="18">
                  <c:v>45688</c:v>
                </c:pt>
                <c:pt idx="19">
                  <c:v>45657</c:v>
                </c:pt>
                <c:pt idx="20">
                  <c:v>45626</c:v>
                </c:pt>
                <c:pt idx="21">
                  <c:v>45596</c:v>
                </c:pt>
                <c:pt idx="22">
                  <c:v>45565</c:v>
                </c:pt>
                <c:pt idx="23">
                  <c:v>45535</c:v>
                </c:pt>
                <c:pt idx="24">
                  <c:v>45504</c:v>
                </c:pt>
                <c:pt idx="25">
                  <c:v>45473</c:v>
                </c:pt>
                <c:pt idx="26">
                  <c:v>45443</c:v>
                </c:pt>
                <c:pt idx="27">
                  <c:v>45412</c:v>
                </c:pt>
                <c:pt idx="28">
                  <c:v>45382</c:v>
                </c:pt>
                <c:pt idx="29">
                  <c:v>45351</c:v>
                </c:pt>
                <c:pt idx="30">
                  <c:v>45322</c:v>
                </c:pt>
              </c:numCache>
            </c:numRef>
          </c:cat>
          <c:val>
            <c:numRef>
              <c:f>TBL_USEP!$F$2:$F$94</c:f>
              <c:numCache>
                <c:formatCode>_-* #\ ##0_-;\-* #\ ##0_-;_-* "-"??_-;_-@_-</c:formatCode>
                <c:ptCount val="31"/>
                <c:pt idx="0">
                  <c:v>1639</c:v>
                </c:pt>
                <c:pt idx="1">
                  <c:v>3141</c:v>
                </c:pt>
                <c:pt idx="2">
                  <c:v>4215</c:v>
                </c:pt>
                <c:pt idx="3">
                  <c:v>5243</c:v>
                </c:pt>
                <c:pt idx="4">
                  <c:v>7262</c:v>
                </c:pt>
                <c:pt idx="5">
                  <c:v>7084</c:v>
                </c:pt>
                <c:pt idx="6">
                  <c:v>5252</c:v>
                </c:pt>
                <c:pt idx="7">
                  <c:v>3919</c:v>
                </c:pt>
                <c:pt idx="8">
                  <c:v>5748</c:v>
                </c:pt>
                <c:pt idx="9">
                  <c:v>8073</c:v>
                </c:pt>
                <c:pt idx="10">
                  <c:v>10765</c:v>
                </c:pt>
                <c:pt idx="11">
                  <c:v>3866</c:v>
                </c:pt>
                <c:pt idx="12">
                  <c:v>4367</c:v>
                </c:pt>
                <c:pt idx="13">
                  <c:v>3943</c:v>
                </c:pt>
                <c:pt idx="14">
                  <c:v>5662</c:v>
                </c:pt>
                <c:pt idx="15">
                  <c:v>6173</c:v>
                </c:pt>
                <c:pt idx="16">
                  <c:v>8414</c:v>
                </c:pt>
                <c:pt idx="17">
                  <c:v>8369</c:v>
                </c:pt>
                <c:pt idx="18">
                  <c:v>4946</c:v>
                </c:pt>
                <c:pt idx="19">
                  <c:v>5172</c:v>
                </c:pt>
                <c:pt idx="20">
                  <c:v>7972</c:v>
                </c:pt>
                <c:pt idx="21">
                  <c:v>9763</c:v>
                </c:pt>
                <c:pt idx="22">
                  <c:v>11078</c:v>
                </c:pt>
                <c:pt idx="23">
                  <c:v>4021</c:v>
                </c:pt>
                <c:pt idx="24">
                  <c:v>5050</c:v>
                </c:pt>
                <c:pt idx="25">
                  <c:v>5842</c:v>
                </c:pt>
                <c:pt idx="26">
                  <c:v>7189</c:v>
                </c:pt>
                <c:pt idx="27">
                  <c:v>8486</c:v>
                </c:pt>
                <c:pt idx="28">
                  <c:v>9614</c:v>
                </c:pt>
                <c:pt idx="29">
                  <c:v>10092</c:v>
                </c:pt>
                <c:pt idx="30">
                  <c:v>7141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3-4F43-8FC5-DCF5990B913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-27"/>
        <c:axId val="817470704"/>
        <c:axId val="651277776"/>
      </c:barChart>
      <c:dateAx>
        <c:axId val="817470704"/>
        <c:scaling>
          <c:orientation val="minMax"/>
        </c:scaling>
        <c:delete val="0"/>
        <c:axPos val="b"/>
        <c:numFmt formatCode="mmm\ 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1277776"/>
        <c:crosses val="autoZero"/>
        <c:auto val="1"/>
        <c:lblOffset val="100"/>
        <c:baseTimeUnit val="months"/>
        <c:majorUnit val="3"/>
      </c:dateAx>
      <c:valAx>
        <c:axId val="65127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747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314325</xdr:colOff>
      <xdr:row>7</xdr:row>
      <xdr:rowOff>142875</xdr:rowOff>
    </xdr:from>
    <xdr:to>
      <xdr:col>13</xdr:col>
      <xdr:colOff>665763</xdr:colOff>
      <xdr:row>45</xdr:row>
      <xdr:rowOff>151675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7DEB067-F033-DBCE-7AD6-D49328375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5925" y="1209675"/>
          <a:ext cx="7895238" cy="5800000"/>
        </a:xfrm>
        <a:prstGeom prst="rect">
          <a:avLst/>
        </a:prstGeom>
      </xdr:spPr>
    </xdr:pic>
    <xdr:clientData/>
  </xdr:twoCellAnchor>
  <xdr:twoCellAnchor>
    <xdr:from>
      <xdr:col>8</xdr:col>
      <xdr:colOff>238125</xdr:colOff>
      <xdr:row>9</xdr:row>
      <xdr:rowOff>133350</xdr:rowOff>
    </xdr:from>
    <xdr:to>
      <xdr:col>9</xdr:col>
      <xdr:colOff>266700</xdr:colOff>
      <xdr:row>12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ED83E7D-FB0E-D4BE-9584-EA95BF09A7C2}"/>
            </a:ext>
          </a:extLst>
        </xdr:cNvPr>
        <xdr:cNvSpPr/>
      </xdr:nvSpPr>
      <xdr:spPr>
        <a:xfrm>
          <a:off x="5724525" y="1504950"/>
          <a:ext cx="714375" cy="438150"/>
        </a:xfrm>
        <a:prstGeom prst="rect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</xdr:col>
      <xdr:colOff>476250</xdr:colOff>
      <xdr:row>12</xdr:row>
      <xdr:rowOff>114301</xdr:rowOff>
    </xdr:from>
    <xdr:to>
      <xdr:col>3</xdr:col>
      <xdr:colOff>495300</xdr:colOff>
      <xdr:row>18</xdr:row>
      <xdr:rowOff>19051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2163F4D-CD36-48E7-88AF-B21DF8BA3696}"/>
            </a:ext>
          </a:extLst>
        </xdr:cNvPr>
        <xdr:cNvSpPr/>
      </xdr:nvSpPr>
      <xdr:spPr>
        <a:xfrm>
          <a:off x="1847850" y="1943101"/>
          <a:ext cx="704850" cy="819150"/>
        </a:xfrm>
        <a:prstGeom prst="rect">
          <a:avLst/>
        </a:prstGeom>
        <a:solidFill>
          <a:schemeClr val="accent5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</xdr:col>
      <xdr:colOff>438149</xdr:colOff>
      <xdr:row>12</xdr:row>
      <xdr:rowOff>95250</xdr:rowOff>
    </xdr:from>
    <xdr:to>
      <xdr:col>13</xdr:col>
      <xdr:colOff>28574</xdr:colOff>
      <xdr:row>17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55A1317-06BE-4DA9-A9B6-665C3859F09F}"/>
            </a:ext>
          </a:extLst>
        </xdr:cNvPr>
        <xdr:cNvSpPr/>
      </xdr:nvSpPr>
      <xdr:spPr>
        <a:xfrm>
          <a:off x="1809749" y="1924050"/>
          <a:ext cx="7134225" cy="742950"/>
        </a:xfrm>
        <a:prstGeom prst="rect">
          <a:avLst/>
        </a:prstGeom>
        <a:noFill/>
        <a:ln w="57150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</xdr:col>
      <xdr:colOff>542924</xdr:colOff>
      <xdr:row>18</xdr:row>
      <xdr:rowOff>19049</xdr:rowOff>
    </xdr:from>
    <xdr:to>
      <xdr:col>6</xdr:col>
      <xdr:colOff>161925</xdr:colOff>
      <xdr:row>44</xdr:row>
      <xdr:rowOff>47624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339AC5B-FBCA-4615-901E-427B5FEFA92A}"/>
            </a:ext>
          </a:extLst>
        </xdr:cNvPr>
        <xdr:cNvSpPr/>
      </xdr:nvSpPr>
      <xdr:spPr>
        <a:xfrm>
          <a:off x="1914524" y="2762249"/>
          <a:ext cx="2362201" cy="3990975"/>
        </a:xfrm>
        <a:prstGeom prst="rect">
          <a:avLst/>
        </a:prstGeom>
        <a:noFill/>
        <a:ln w="57150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6</xdr:col>
      <xdr:colOff>314326</xdr:colOff>
      <xdr:row>39</xdr:row>
      <xdr:rowOff>57150</xdr:rowOff>
    </xdr:from>
    <xdr:to>
      <xdr:col>9</xdr:col>
      <xdr:colOff>600075</xdr:colOff>
      <xdr:row>43</xdr:row>
      <xdr:rowOff>85725</xdr:rowOff>
    </xdr:to>
    <xdr:sp macro="" textlink="">
      <xdr:nvSpPr>
        <xdr:cNvPr id="8" name="ZoneTexte 7">
          <a:extLst>
            <a:ext uri="{FF2B5EF4-FFF2-40B4-BE49-F238E27FC236}">
              <a16:creationId xmlns:a16="http://schemas.microsoft.com/office/drawing/2014/main" id="{D5D48944-7BBB-C1F4-B85B-DCB953543B64}"/>
            </a:ext>
          </a:extLst>
        </xdr:cNvPr>
        <xdr:cNvSpPr txBox="1"/>
      </xdr:nvSpPr>
      <xdr:spPr>
        <a:xfrm>
          <a:off x="4429126" y="6000750"/>
          <a:ext cx="2343149" cy="638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3200">
              <a:solidFill>
                <a:schemeClr val="accent5"/>
              </a:solidFill>
            </a:rPr>
            <a:t>Connecteurs</a:t>
          </a:r>
        </a:p>
      </xdr:txBody>
    </xdr:sp>
    <xdr:clientData/>
  </xdr:twoCellAnchor>
  <xdr:twoCellAnchor>
    <xdr:from>
      <xdr:col>9</xdr:col>
      <xdr:colOff>342900</xdr:colOff>
      <xdr:row>8</xdr:row>
      <xdr:rowOff>57150</xdr:rowOff>
    </xdr:from>
    <xdr:to>
      <xdr:col>10</xdr:col>
      <xdr:colOff>342900</xdr:colOff>
      <xdr:row>12</xdr:row>
      <xdr:rowOff>19050</xdr:rowOff>
    </xdr:to>
    <xdr:sp macro="" textlink="">
      <xdr:nvSpPr>
        <xdr:cNvPr id="15" name="Flèche : droite 14">
          <a:extLst>
            <a:ext uri="{FF2B5EF4-FFF2-40B4-BE49-F238E27FC236}">
              <a16:creationId xmlns:a16="http://schemas.microsoft.com/office/drawing/2014/main" id="{BD629C8A-B719-F393-0586-09C3231902BA}"/>
            </a:ext>
          </a:extLst>
        </xdr:cNvPr>
        <xdr:cNvSpPr/>
      </xdr:nvSpPr>
      <xdr:spPr>
        <a:xfrm rot="10800000">
          <a:off x="6515100" y="1276350"/>
          <a:ext cx="685800" cy="571500"/>
        </a:xfrm>
        <a:prstGeom prst="rightArrow">
          <a:avLst/>
        </a:prstGeom>
        <a:solidFill>
          <a:schemeClr val="accent5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26</xdr:col>
      <xdr:colOff>571500</xdr:colOff>
      <xdr:row>7</xdr:row>
      <xdr:rowOff>133350</xdr:rowOff>
    </xdr:from>
    <xdr:to>
      <xdr:col>38</xdr:col>
      <xdr:colOff>646662</xdr:colOff>
      <xdr:row>35</xdr:row>
      <xdr:rowOff>66150</xdr:rowOff>
    </xdr:to>
    <xdr:pic>
      <xdr:nvPicPr>
        <xdr:cNvPr id="17" name="Image 16">
          <a:extLst>
            <a:ext uri="{FF2B5EF4-FFF2-40B4-BE49-F238E27FC236}">
              <a16:creationId xmlns:a16="http://schemas.microsoft.com/office/drawing/2014/main" id="{95D56F63-D494-B14E-5A19-22A133829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402300" y="1200150"/>
          <a:ext cx="8304762" cy="4200000"/>
        </a:xfrm>
        <a:prstGeom prst="rect">
          <a:avLst/>
        </a:prstGeom>
      </xdr:spPr>
    </xdr:pic>
    <xdr:clientData/>
  </xdr:twoCellAnchor>
  <xdr:oneCellAnchor>
    <xdr:from>
      <xdr:col>27</xdr:col>
      <xdr:colOff>133350</xdr:colOff>
      <xdr:row>28</xdr:row>
      <xdr:rowOff>9525</xdr:rowOff>
    </xdr:from>
    <xdr:ext cx="2607252" cy="530658"/>
    <xdr:sp macro="" textlink="">
      <xdr:nvSpPr>
        <xdr:cNvPr id="18" name="ZoneTexte 17">
          <a:extLst>
            <a:ext uri="{FF2B5EF4-FFF2-40B4-BE49-F238E27FC236}">
              <a16:creationId xmlns:a16="http://schemas.microsoft.com/office/drawing/2014/main" id="{5F1C46B7-2BE3-F434-2A28-710C72B09767}"/>
            </a:ext>
          </a:extLst>
        </xdr:cNvPr>
        <xdr:cNvSpPr txBox="1"/>
      </xdr:nvSpPr>
      <xdr:spPr>
        <a:xfrm>
          <a:off x="18649950" y="4276725"/>
          <a:ext cx="2607252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>
              <a:solidFill>
                <a:schemeClr val="accent5"/>
              </a:solidFill>
            </a:rPr>
            <a:t>Choisir une table</a:t>
          </a:r>
        </a:p>
      </xdr:txBody>
    </xdr:sp>
    <xdr:clientData/>
  </xdr:oneCellAnchor>
  <xdr:twoCellAnchor>
    <xdr:from>
      <xdr:col>35</xdr:col>
      <xdr:colOff>457200</xdr:colOff>
      <xdr:row>32</xdr:row>
      <xdr:rowOff>104775</xdr:rowOff>
    </xdr:from>
    <xdr:to>
      <xdr:col>37</xdr:col>
      <xdr:colOff>419100</xdr:colOff>
      <xdr:row>35</xdr:row>
      <xdr:rowOff>19050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7AB754C1-0A14-C417-9827-4B676C80E169}"/>
            </a:ext>
          </a:extLst>
        </xdr:cNvPr>
        <xdr:cNvSpPr/>
      </xdr:nvSpPr>
      <xdr:spPr>
        <a:xfrm>
          <a:off x="24460200" y="4981575"/>
          <a:ext cx="1333500" cy="371475"/>
        </a:xfrm>
        <a:prstGeom prst="rect">
          <a:avLst/>
        </a:prstGeom>
        <a:noFill/>
        <a:ln w="38100" cap="flat" cmpd="sng" algn="ctr">
          <a:solidFill>
            <a:schemeClr val="accent5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30</xdr:col>
      <xdr:colOff>200025</xdr:colOff>
      <xdr:row>17</xdr:row>
      <xdr:rowOff>76200</xdr:rowOff>
    </xdr:from>
    <xdr:to>
      <xdr:col>31</xdr:col>
      <xdr:colOff>198225</xdr:colOff>
      <xdr:row>21</xdr:row>
      <xdr:rowOff>150600</xdr:rowOff>
    </xdr:to>
    <xdr:pic>
      <xdr:nvPicPr>
        <xdr:cNvPr id="21" name="Graphique 20" descr="Badge 1 avec un remplissage uni">
          <a:extLst>
            <a:ext uri="{FF2B5EF4-FFF2-40B4-BE49-F238E27FC236}">
              <a16:creationId xmlns:a16="http://schemas.microsoft.com/office/drawing/2014/main" id="{9460385C-FE38-7D55-579B-8D0E595DD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0774025" y="2667000"/>
          <a:ext cx="684000" cy="684000"/>
        </a:xfrm>
        <a:prstGeom prst="rect">
          <a:avLst/>
        </a:prstGeom>
      </xdr:spPr>
    </xdr:pic>
    <xdr:clientData/>
  </xdr:twoCellAnchor>
  <xdr:twoCellAnchor editAs="oneCell">
    <xdr:from>
      <xdr:col>36</xdr:col>
      <xdr:colOff>64275</xdr:colOff>
      <xdr:row>27</xdr:row>
      <xdr:rowOff>150000</xdr:rowOff>
    </xdr:from>
    <xdr:to>
      <xdr:col>37</xdr:col>
      <xdr:colOff>62475</xdr:colOff>
      <xdr:row>32</xdr:row>
      <xdr:rowOff>72000</xdr:rowOff>
    </xdr:to>
    <xdr:pic>
      <xdr:nvPicPr>
        <xdr:cNvPr id="23" name="Graphique 22" descr="Badge avec un remplissage uni">
          <a:extLst>
            <a:ext uri="{FF2B5EF4-FFF2-40B4-BE49-F238E27FC236}">
              <a16:creationId xmlns:a16="http://schemas.microsoft.com/office/drawing/2014/main" id="{8D348BD0-39E3-0935-1C06-A7E5F572D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4753075" y="4264800"/>
          <a:ext cx="684000" cy="684000"/>
        </a:xfrm>
        <a:prstGeom prst="rect">
          <a:avLst/>
        </a:prstGeom>
      </xdr:spPr>
    </xdr:pic>
    <xdr:clientData/>
  </xdr:twoCellAnchor>
  <xdr:twoCellAnchor editAs="oneCell">
    <xdr:from>
      <xdr:col>14</xdr:col>
      <xdr:colOff>85725</xdr:colOff>
      <xdr:row>8</xdr:row>
      <xdr:rowOff>0</xdr:rowOff>
    </xdr:from>
    <xdr:to>
      <xdr:col>26</xdr:col>
      <xdr:colOff>256125</xdr:colOff>
      <xdr:row>42</xdr:row>
      <xdr:rowOff>37448</xdr:rowOff>
    </xdr:to>
    <xdr:pic>
      <xdr:nvPicPr>
        <xdr:cNvPr id="24" name="Image 23">
          <a:extLst>
            <a:ext uri="{FF2B5EF4-FFF2-40B4-BE49-F238E27FC236}">
              <a16:creationId xmlns:a16="http://schemas.microsoft.com/office/drawing/2014/main" id="{726EC6AA-DA28-6536-3378-77A57018A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686925" y="1219200"/>
          <a:ext cx="8400000" cy="52190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</xdr:colOff>
      <xdr:row>3</xdr:row>
      <xdr:rowOff>19050</xdr:rowOff>
    </xdr:from>
    <xdr:to>
      <xdr:col>3</xdr:col>
      <xdr:colOff>476250</xdr:colOff>
      <xdr:row>17</xdr:row>
      <xdr:rowOff>123825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Équipe 1">
              <a:extLst>
                <a:ext uri="{FF2B5EF4-FFF2-40B4-BE49-F238E27FC236}">
                  <a16:creationId xmlns:a16="http://schemas.microsoft.com/office/drawing/2014/main" id="{F884AB50-1C47-45DE-AC18-05AF38288F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Équi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4850" y="885825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676275</xdr:colOff>
      <xdr:row>3</xdr:row>
      <xdr:rowOff>47625</xdr:rowOff>
    </xdr:from>
    <xdr:to>
      <xdr:col>6</xdr:col>
      <xdr:colOff>447675</xdr:colOff>
      <xdr:row>18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Indicateur 1">
              <a:extLst>
                <a:ext uri="{FF2B5EF4-FFF2-40B4-BE49-F238E27FC236}">
                  <a16:creationId xmlns:a16="http://schemas.microsoft.com/office/drawing/2014/main" id="{7FF548E9-11DF-4FDC-970E-EFE9CB2189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dicateu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675" y="9144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590550</xdr:colOff>
      <xdr:row>3</xdr:row>
      <xdr:rowOff>47625</xdr:rowOff>
    </xdr:from>
    <xdr:to>
      <xdr:col>9</xdr:col>
      <xdr:colOff>361950</xdr:colOff>
      <xdr:row>18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Année 1">
              <a:extLst>
                <a:ext uri="{FF2B5EF4-FFF2-40B4-BE49-F238E27FC236}">
                  <a16:creationId xmlns:a16="http://schemas.microsoft.com/office/drawing/2014/main" id="{A9BFE020-9972-4573-A437-5AE7326A00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né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05350" y="9144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 de table. Les segments de table ne sont pas pris en charge dans cette version d’Excel.
En revanche, si la forme a été modifiée dans une version antérieure d’Excel, ou si le classeur a été enregistré dans Excel 2007 ou une version antérieure, vous ne pouvez pas utiliser le segment.</a:t>
              </a:r>
            </a:p>
          </xdr:txBody>
        </xdr:sp>
      </mc:Fallback>
    </mc:AlternateContent>
    <xdr:clientData/>
  </xdr:twoCellAnchor>
  <xdr:twoCellAnchor>
    <xdr:from>
      <xdr:col>1</xdr:col>
      <xdr:colOff>28575</xdr:colOff>
      <xdr:row>20</xdr:row>
      <xdr:rowOff>47625</xdr:rowOff>
    </xdr:from>
    <xdr:to>
      <xdr:col>15</xdr:col>
      <xdr:colOff>28575</xdr:colOff>
      <xdr:row>54</xdr:row>
      <xdr:rowOff>47625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AA106FA8-A9F7-4E4B-AB3E-C45630840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5</xdr:row>
      <xdr:rowOff>133351</xdr:rowOff>
    </xdr:from>
    <xdr:to>
      <xdr:col>1</xdr:col>
      <xdr:colOff>1857375</xdr:colOff>
      <xdr:row>13</xdr:row>
      <xdr:rowOff>114301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nnée">
              <a:extLst>
                <a:ext uri="{FF2B5EF4-FFF2-40B4-BE49-F238E27FC236}">
                  <a16:creationId xmlns:a16="http://schemas.microsoft.com/office/drawing/2014/main" id="{17C7B46C-DC61-4BBE-AAF5-17B32AD021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né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" y="1257301"/>
              <a:ext cx="1828800" cy="1200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2143125</xdr:colOff>
      <xdr:row>5</xdr:row>
      <xdr:rowOff>142876</xdr:rowOff>
    </xdr:from>
    <xdr:to>
      <xdr:col>5</xdr:col>
      <xdr:colOff>704850</xdr:colOff>
      <xdr:row>13</xdr:row>
      <xdr:rowOff>142876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dicateur">
              <a:extLst>
                <a:ext uri="{FF2B5EF4-FFF2-40B4-BE49-F238E27FC236}">
                  <a16:creationId xmlns:a16="http://schemas.microsoft.com/office/drawing/2014/main" id="{B09DC72E-02AB-63B5-5CE0-8C07FEDC1F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dicateu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1266826"/>
              <a:ext cx="3790950" cy="1219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H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neviève Agnès Guex" refreshedDate="46314.578048611111" createdVersion="8" refreshedVersion="8" minRefreshableVersion="3" recordCount="93" xr:uid="{B33DD034-EDAD-4DCE-B34F-B731BD3F1AB7}">
  <cacheSource type="worksheet">
    <worksheetSource name="TBL_USEP"/>
  </cacheSource>
  <cacheFields count="11">
    <cacheField name="N° Indicateur" numFmtId="0">
      <sharedItems/>
    </cacheField>
    <cacheField name="Équipe" numFmtId="0">
      <sharedItems/>
    </cacheField>
    <cacheField name="Indicateur" numFmtId="0">
      <sharedItems count="3">
        <s v="Usage : Prêts  locaux + PER + PEB avec prolongations (nombre)"/>
        <s v="Bâtiment : Entrées physiques (nombre)"/>
        <s v="Sollicitations : Guichets physiques - demandes (nombre)"/>
      </sharedItems>
    </cacheField>
    <cacheField name="Descriptif indicateur" numFmtId="0">
      <sharedItems/>
    </cacheField>
    <cacheField name="Date" numFmtId="14">
      <sharedItems containsSemiMixedTypes="0" containsNonDate="0" containsDate="1" containsString="0" minDate="2024-01-31T00:00:00" maxDate="2026-08-01T00:00:00" count="31">
        <d v="2026-07-31T00:00:00"/>
        <d v="2026-06-30T00:00:00"/>
        <d v="2026-05-31T00:00:00"/>
        <d v="2026-04-30T00:00:00"/>
        <d v="2026-03-31T00:00:00"/>
        <d v="2026-02-28T00:00:00"/>
        <d v="2026-01-31T00:00:00"/>
        <d v="2025-12-31T00:00:00"/>
        <d v="2025-11-30T00:00:00"/>
        <d v="2025-10-31T00:00:00"/>
        <d v="2025-09-30T00:00:00"/>
        <d v="2025-08-31T00:00:00"/>
        <d v="2025-07-31T00:00:00"/>
        <d v="2025-06-30T00:00:00"/>
        <d v="2025-05-31T00:00:00"/>
        <d v="2025-04-30T00:00:00"/>
        <d v="2025-03-31T00:00:00"/>
        <d v="2025-02-28T00:00:00"/>
        <d v="2025-01-31T00:00:00"/>
        <d v="2024-12-31T00:00:00"/>
        <d v="2024-11-30T00:00:00"/>
        <d v="2024-10-31T00:00:00"/>
        <d v="2024-09-30T00:00:00"/>
        <d v="2024-08-31T00:00:00"/>
        <d v="2024-07-31T00:00:00"/>
        <d v="2024-06-30T00:00:00"/>
        <d v="2024-05-31T00:00:00"/>
        <d v="2024-04-30T00:00:00"/>
        <d v="2024-03-31T00:00:00"/>
        <d v="2024-02-29T00:00:00"/>
        <d v="2024-01-31T00:00:00"/>
      </sharedItems>
      <fieldGroup par="10"/>
    </cacheField>
    <cacheField name="Valeur" numFmtId="164">
      <sharedItems containsSemiMixedTypes="0" containsString="0" containsNumber="1" containsInteger="1" minValue="541" maxValue="210289"/>
    </cacheField>
    <cacheField name="Année" numFmtId="0">
      <sharedItems containsSemiMixedTypes="0" containsString="0" containsNumber="1" containsInteger="1" minValue="2024" maxValue="2026" count="3">
        <n v="2026"/>
        <n v="2025"/>
        <n v="2024"/>
      </sharedItems>
    </cacheField>
    <cacheField name="Trimestre" numFmtId="0">
      <sharedItems containsSemiMixedTypes="0" containsString="0" containsNumber="1" containsInteger="1" minValue="1" maxValue="4"/>
    </cacheField>
    <cacheField name="Mois (Date)" numFmtId="0" databaseField="0">
      <fieldGroup base="4">
        <rangePr groupBy="months" startDate="2024-01-31T00:00:00" endDate="2026-08-01T00:00:00"/>
        <groupItems count="14">
          <s v="&lt;31.01.2024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.08.2026"/>
        </groupItems>
      </fieldGroup>
    </cacheField>
    <cacheField name="Trimestres (Date)" numFmtId="0" databaseField="0">
      <fieldGroup base="4">
        <rangePr groupBy="quarters" startDate="2024-01-31T00:00:00" endDate="2026-08-01T00:00:00"/>
        <groupItems count="6">
          <s v="&lt;31.01.2024"/>
          <s v="Trimestre1"/>
          <s v="Trimestre2"/>
          <s v="Trimestre3"/>
          <s v="Trimestre4"/>
          <s v="&gt;01.08.2026"/>
        </groupItems>
      </fieldGroup>
    </cacheField>
    <cacheField name="Années (Date)" numFmtId="0" databaseField="0">
      <fieldGroup base="4">
        <rangePr groupBy="years" startDate="2024-01-31T00:00:00" endDate="2026-08-01T00:00:00"/>
        <groupItems count="5">
          <s v="&lt;31.01.2024"/>
          <s v="2024"/>
          <s v="2025"/>
          <s v="2026"/>
          <s v="&gt;01.08.2026"/>
        </groupItems>
      </fieldGroup>
    </cacheField>
  </cacheFields>
  <extLst>
    <ext xmlns:x14="http://schemas.microsoft.com/office/spreadsheetml/2009/9/main" uri="{725AE2AE-9491-48be-B2B4-4EB974FC3084}">
      <x14:pivotCacheDefinition pivotCacheId="964145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">
  <r>
    <s v="USE_010"/>
    <s v="FDOC"/>
    <x v="0"/>
    <s v="Nombre de documents du fonds prêtés et sous prolongation durant le mois;_x000a_inclus: prêt en réseau, prêt entre bibliothèques; prêts sans prolongation"/>
    <x v="0"/>
    <n v="1639"/>
    <x v="0"/>
    <n v="3"/>
  </r>
  <r>
    <s v="BAT_010"/>
    <s v="ASAP"/>
    <x v="1"/>
    <s v="Nombre d'entrées physiques; _x000a_comptage: total mensuel du système à diviser par deux si comptabilise entrées et sorties"/>
    <x v="0"/>
    <n v="28845"/>
    <x v="0"/>
    <n v="3"/>
  </r>
  <r>
    <s v="REQ_010"/>
    <s v="ASAP"/>
    <x v="2"/>
    <s v="Nombre de sollicitations au guichet physique durant le mois"/>
    <x v="0"/>
    <n v="825"/>
    <x v="0"/>
    <n v="3"/>
  </r>
  <r>
    <s v="REQ_010"/>
    <s v="ASAP"/>
    <x v="2"/>
    <s v="Nombre de sollicitations au guichet physique durant le mois"/>
    <x v="1"/>
    <n v="1518"/>
    <x v="0"/>
    <n v="2"/>
  </r>
  <r>
    <s v="USE_010"/>
    <s v="FDOC"/>
    <x v="0"/>
    <s v="Nombre de documents du fonds prêtés et sous prolongation durant le mois;_x000a_inclus: prêt en réseau, prêt entre bibliothèques; prêts sans prolongation"/>
    <x v="1"/>
    <n v="3141"/>
    <x v="0"/>
    <n v="2"/>
  </r>
  <r>
    <s v="BAT_010"/>
    <s v="ASAP"/>
    <x v="1"/>
    <s v="Nombre d'entrées physiques; _x000a_comptage: total mensuel du système à diviser par deux si comptabilise entrées et sorties"/>
    <x v="1"/>
    <n v="169129"/>
    <x v="0"/>
    <n v="2"/>
  </r>
  <r>
    <s v="REQ_010"/>
    <s v="ASAP"/>
    <x v="2"/>
    <s v="Nombre de sollicitations au guichet physique durant le mois"/>
    <x v="2"/>
    <n v="1667"/>
    <x v="0"/>
    <n v="2"/>
  </r>
  <r>
    <s v="BAT_010"/>
    <s v="ASAP"/>
    <x v="1"/>
    <s v="Nombre d'entrées physiques; _x000a_comptage: total mensuel du système à diviser par deux si comptabilise entrées et sorties"/>
    <x v="2"/>
    <n v="210289"/>
    <x v="0"/>
    <n v="2"/>
  </r>
  <r>
    <s v="USE_010"/>
    <s v="FDOC"/>
    <x v="0"/>
    <s v="Nombre de documents du fonds prêtés et sous prolongation durant le mois;_x000a_inclus: prêt en réseau, prêt entre bibliothèques; prêts sans prolongation"/>
    <x v="2"/>
    <n v="4215"/>
    <x v="0"/>
    <n v="2"/>
  </r>
  <r>
    <s v="USE_010"/>
    <s v="FDOC"/>
    <x v="0"/>
    <s v="Nombre de documents du fonds prêtés et sous prolongation durant le mois;_x000a_inclus: prêt en réseau, prêt entre bibliothèques; prêts sans prolongation"/>
    <x v="3"/>
    <n v="5243"/>
    <x v="0"/>
    <n v="2"/>
  </r>
  <r>
    <s v="REQ_010"/>
    <s v="ASAP"/>
    <x v="2"/>
    <s v="Nombre de sollicitations au guichet physique durant le mois"/>
    <x v="3"/>
    <n v="1546"/>
    <x v="0"/>
    <n v="2"/>
  </r>
  <r>
    <s v="BAT_010"/>
    <s v="ASAP"/>
    <x v="1"/>
    <s v="Nombre d'entrées physiques; _x000a_comptage: total mensuel du système à diviser par deux si comptabilise entrées et sorties"/>
    <x v="3"/>
    <n v="172017"/>
    <x v="0"/>
    <n v="2"/>
  </r>
  <r>
    <s v="REQ_010"/>
    <s v="ASAP"/>
    <x v="2"/>
    <s v="Nombre de sollicitations au guichet physique durant le mois"/>
    <x v="4"/>
    <n v="1970"/>
    <x v="0"/>
    <n v="1"/>
  </r>
  <r>
    <s v="BAT_010"/>
    <s v="ASAP"/>
    <x v="1"/>
    <s v="Nombre d'entrées physiques; _x000a_comptage: total mensuel du système à diviser par deux si comptabilise entrées et sorties"/>
    <x v="4"/>
    <n v="175830"/>
    <x v="0"/>
    <n v="1"/>
  </r>
  <r>
    <s v="USE_010"/>
    <s v="FDOC"/>
    <x v="0"/>
    <s v="Nombre de documents du fonds prêtés et sous prolongation durant le mois;_x000a_inclus: prêt en réseau, prêt entre bibliothèques; prêts sans prolongation"/>
    <x v="4"/>
    <n v="7262"/>
    <x v="0"/>
    <n v="1"/>
  </r>
  <r>
    <s v="BAT_010"/>
    <s v="ASAP"/>
    <x v="1"/>
    <s v="Nombre d'entrées physiques; _x000a_comptage: total mensuel du système à diviser par deux si comptabilise entrées et sorties"/>
    <x v="5"/>
    <n v="50727"/>
    <x v="0"/>
    <n v="1"/>
  </r>
  <r>
    <s v="REQ_010"/>
    <s v="ASAP"/>
    <x v="2"/>
    <s v="Nombre de sollicitations au guichet physique durant le mois"/>
    <x v="5"/>
    <n v="1224"/>
    <x v="0"/>
    <n v="1"/>
  </r>
  <r>
    <s v="USE_010"/>
    <s v="FDOC"/>
    <x v="0"/>
    <s v="Nombre de documents du fonds prêtés et sous prolongation durant le mois;_x000a_inclus: prêt en réseau, prêt entre bibliothèques; prêts sans prolongation"/>
    <x v="5"/>
    <n v="7084"/>
    <x v="0"/>
    <n v="1"/>
  </r>
  <r>
    <s v="BAT_010"/>
    <s v="ASAP"/>
    <x v="1"/>
    <s v="Nombre d'entrées physiques; _x000a_comptage: total mensuel du système à diviser par deux si comptabilise entrées et sorties"/>
    <x v="6"/>
    <n v="151902"/>
    <x v="0"/>
    <n v="1"/>
  </r>
  <r>
    <s v="USE_010"/>
    <s v="FDOC"/>
    <x v="0"/>
    <s v="Nombre de documents du fonds prêtés et sous prolongation durant le mois;_x000a_inclus: prêt en réseau, prêt entre bibliothèques; prêts sans prolongation"/>
    <x v="6"/>
    <n v="5252"/>
    <x v="0"/>
    <n v="1"/>
  </r>
  <r>
    <s v="REQ_010"/>
    <s v="ASAP"/>
    <x v="2"/>
    <s v="Nombre de sollicitations au guichet physique durant le mois"/>
    <x v="6"/>
    <n v="1505"/>
    <x v="0"/>
    <n v="1"/>
  </r>
  <r>
    <s v="REQ_010"/>
    <s v="ASAP"/>
    <x v="2"/>
    <s v="Nombre de sollicitations au guichet physique durant le mois"/>
    <x v="7"/>
    <n v="1593"/>
    <x v="1"/>
    <n v="4"/>
  </r>
  <r>
    <s v="USE_010"/>
    <s v="FDOC"/>
    <x v="0"/>
    <s v="Nombre de documents du fonds prêtés et sous prolongation durant le mois;_x000a_inclus: prêt en réseau, prêt entre bibliothèques; prêts sans prolongation"/>
    <x v="7"/>
    <n v="3919"/>
    <x v="1"/>
    <n v="4"/>
  </r>
  <r>
    <s v="BAT_010"/>
    <s v="ASAP"/>
    <x v="1"/>
    <s v="Nombre d'entrées physiques; _x000a_comptage: total mensuel du système à diviser par deux si comptabilise entrées et sorties"/>
    <x v="7"/>
    <n v="148897"/>
    <x v="1"/>
    <n v="4"/>
  </r>
  <r>
    <s v="REQ_010"/>
    <s v="ASAP"/>
    <x v="2"/>
    <s v="Nombre de sollicitations au guichet physique durant le mois"/>
    <x v="8"/>
    <n v="1934"/>
    <x v="1"/>
    <n v="4"/>
  </r>
  <r>
    <s v="USE_010"/>
    <s v="FDOC"/>
    <x v="0"/>
    <s v="Nombre de documents du fonds prêtés et sous prolongation durant le mois;_x000a_inclus: prêt en réseau, prêt entre bibliothèques; prêts sans prolongation"/>
    <x v="8"/>
    <n v="5748"/>
    <x v="1"/>
    <n v="4"/>
  </r>
  <r>
    <s v="BAT_010"/>
    <s v="ASAP"/>
    <x v="1"/>
    <s v="Nombre d'entrées physiques; _x000a_comptage: total mensuel du système à diviser par deux si comptabilise entrées et sorties"/>
    <x v="8"/>
    <n v="164814"/>
    <x v="1"/>
    <n v="4"/>
  </r>
  <r>
    <s v="USE_010"/>
    <s v="FDOC"/>
    <x v="0"/>
    <s v="Nombre de documents du fonds prêtés et sous prolongation durant le mois;_x000a_inclus: prêt en réseau, prêt entre bibliothèques; prêts sans prolongation"/>
    <x v="9"/>
    <n v="8073"/>
    <x v="1"/>
    <n v="4"/>
  </r>
  <r>
    <s v="BAT_010"/>
    <s v="ASAP"/>
    <x v="1"/>
    <s v="Nombre d'entrées physiques; _x000a_comptage: total mensuel du système à diviser par deux si comptabilise entrées et sorties"/>
    <x v="9"/>
    <n v="153372"/>
    <x v="1"/>
    <n v="4"/>
  </r>
  <r>
    <s v="REQ_010"/>
    <s v="ASAP"/>
    <x v="2"/>
    <s v="Nombre de sollicitations au guichet physique durant le mois"/>
    <x v="9"/>
    <n v="2038"/>
    <x v="1"/>
    <n v="4"/>
  </r>
  <r>
    <s v="USE_010"/>
    <s v="FDOC"/>
    <x v="0"/>
    <s v="Nombre de documents du fonds prêtés et sous prolongation durant le mois;_x000a_inclus: prêt en réseau, prêt entre bibliothèques; prêts sans prolongation"/>
    <x v="10"/>
    <n v="10765"/>
    <x v="1"/>
    <n v="3"/>
  </r>
  <r>
    <s v="REQ_010"/>
    <s v="ASAP"/>
    <x v="2"/>
    <s v="Nombre de sollicitations au guichet physique durant le mois"/>
    <x v="10"/>
    <n v="1994"/>
    <x v="1"/>
    <n v="3"/>
  </r>
  <r>
    <s v="BAT_010"/>
    <s v="ASAP"/>
    <x v="1"/>
    <s v="Nombre d'entrées physiques; _x000a_comptage: total mensuel du système à diviser par deux si comptabilise entrées et sorties"/>
    <x v="10"/>
    <n v="101592"/>
    <x v="1"/>
    <n v="3"/>
  </r>
  <r>
    <s v="USE_010"/>
    <s v="FDOC"/>
    <x v="0"/>
    <s v="Nombre de documents du fonds prêtés et sous prolongation durant le mois;_x000a_inclus: prêt en réseau, prêt entre bibliothèques; prêts sans prolongation"/>
    <x v="11"/>
    <n v="3866"/>
    <x v="1"/>
    <n v="3"/>
  </r>
  <r>
    <s v="BAT_010"/>
    <s v="ASAP"/>
    <x v="1"/>
    <s v="Nombre d'entrées physiques; _x000a_comptage: total mensuel du système à diviser par deux si comptabilise entrées et sorties"/>
    <x v="11"/>
    <n v="53610"/>
    <x v="1"/>
    <n v="3"/>
  </r>
  <r>
    <s v="REQ_010"/>
    <s v="ASAP"/>
    <x v="2"/>
    <s v="Nombre de sollicitations au guichet physique durant le mois"/>
    <x v="11"/>
    <n v="541"/>
    <x v="1"/>
    <n v="3"/>
  </r>
  <r>
    <s v="REQ_010"/>
    <s v="ASAP"/>
    <x v="2"/>
    <s v="Nombre de sollicitations au guichet physique durant le mois"/>
    <x v="12"/>
    <n v="580"/>
    <x v="1"/>
    <n v="3"/>
  </r>
  <r>
    <s v="BAT_010"/>
    <s v="ASAP"/>
    <x v="1"/>
    <s v="Nombre d'entrées physiques; _x000a_comptage: total mensuel du système à diviser par deux si comptabilise entrées et sorties"/>
    <x v="12"/>
    <n v="30661"/>
    <x v="1"/>
    <n v="3"/>
  </r>
  <r>
    <s v="USE_010"/>
    <s v="FDOC"/>
    <x v="0"/>
    <s v="Nombre de documents du fonds prêtés et sous prolongation durant le mois;_x000a_inclus: prêt en réseau, prêt entre bibliothèques; prêts sans prolongation"/>
    <x v="12"/>
    <n v="4367"/>
    <x v="1"/>
    <n v="3"/>
  </r>
  <r>
    <s v="REQ_010"/>
    <s v="ASAP"/>
    <x v="2"/>
    <s v="Nombre de sollicitations au guichet physique durant le mois"/>
    <x v="13"/>
    <n v="1154"/>
    <x v="1"/>
    <n v="2"/>
  </r>
  <r>
    <s v="BAT_010"/>
    <s v="ASAP"/>
    <x v="1"/>
    <s v="Nombre d'entrées physiques; _x000a_comptage: total mensuel du système à diviser par deux si comptabilise entrées et sorties"/>
    <x v="13"/>
    <n v="148336"/>
    <x v="1"/>
    <n v="2"/>
  </r>
  <r>
    <s v="USE_010"/>
    <s v="FDOC"/>
    <x v="0"/>
    <s v="Nombre de documents du fonds prêtés et sous prolongation durant le mois;_x000a_inclus: prêt en réseau, prêt entre bibliothèques; prêts sans prolongation"/>
    <x v="13"/>
    <n v="3943"/>
    <x v="1"/>
    <n v="2"/>
  </r>
  <r>
    <s v="USE_010"/>
    <s v="FDOC"/>
    <x v="0"/>
    <s v="Nombre de documents du fonds prêtés et sous prolongation durant le mois;_x000a_inclus: prêt en réseau, prêt entre bibliothèques; prêts sans prolongation"/>
    <x v="14"/>
    <n v="5662"/>
    <x v="1"/>
    <n v="2"/>
  </r>
  <r>
    <s v="REQ_010"/>
    <s v="ASAP"/>
    <x v="2"/>
    <s v="Nombre de sollicitations au guichet physique durant le mois"/>
    <x v="14"/>
    <n v="1409"/>
    <x v="1"/>
    <n v="2"/>
  </r>
  <r>
    <s v="BAT_010"/>
    <s v="ASAP"/>
    <x v="1"/>
    <s v="Nombre d'entrées physiques; _x000a_comptage: total mensuel du système à diviser par deux si comptabilise entrées et sorties"/>
    <x v="14"/>
    <n v="173573"/>
    <x v="1"/>
    <n v="2"/>
  </r>
  <r>
    <s v="USE_010"/>
    <s v="FDOC"/>
    <x v="0"/>
    <s v="Nombre de documents du fonds prêtés et sous prolongation durant le mois;_x000a_inclus: prêt en réseau, prêt entre bibliothèques; prêts sans prolongation"/>
    <x v="15"/>
    <n v="6173"/>
    <x v="1"/>
    <n v="2"/>
  </r>
  <r>
    <s v="BAT_010"/>
    <s v="ASAP"/>
    <x v="1"/>
    <s v="Nombre d'entrées physiques; _x000a_comptage: total mensuel du système à diviser par deux si comptabilise entrées et sorties"/>
    <x v="15"/>
    <n v="107901"/>
    <x v="1"/>
    <n v="2"/>
  </r>
  <r>
    <s v="REQ_010"/>
    <s v="ASAP"/>
    <x v="2"/>
    <s v="Nombre de sollicitations au guichet physique durant le mois"/>
    <x v="15"/>
    <n v="1287"/>
    <x v="1"/>
    <n v="2"/>
  </r>
  <r>
    <s v="USE_010"/>
    <s v="FDOC"/>
    <x v="0"/>
    <s v="Nombre de documents du fonds prêtés et sous prolongation durant le mois;_x000a_inclus: prêt en réseau, prêt entre bibliothèques; prêts sans prolongation"/>
    <x v="16"/>
    <n v="8414"/>
    <x v="1"/>
    <n v="1"/>
  </r>
  <r>
    <s v="BAT_010"/>
    <s v="ASAP"/>
    <x v="1"/>
    <s v="Nombre d'entrées physiques; _x000a_comptage: total mensuel du système à diviser par deux si comptabilise entrées et sorties"/>
    <x v="16"/>
    <n v="134426"/>
    <x v="1"/>
    <n v="1"/>
  </r>
  <r>
    <s v="REQ_010"/>
    <s v="ASAP"/>
    <x v="2"/>
    <s v="Nombre de sollicitations au guichet physique durant le mois"/>
    <x v="16"/>
    <n v="1417"/>
    <x v="1"/>
    <n v="1"/>
  </r>
  <r>
    <s v="REQ_010"/>
    <s v="ASAP"/>
    <x v="2"/>
    <s v="Nombre de sollicitations au guichet physique durant le mois"/>
    <x v="17"/>
    <n v="1082"/>
    <x v="1"/>
    <n v="1"/>
  </r>
  <r>
    <s v="USE_010"/>
    <s v="FDOC"/>
    <x v="0"/>
    <s v="Nombre de documents du fonds prêtés et sous prolongation durant le mois;_x000a_inclus: prêt en réseau, prêt entre bibliothèques; prêts sans prolongation"/>
    <x v="17"/>
    <n v="8369"/>
    <x v="1"/>
    <n v="1"/>
  </r>
  <r>
    <s v="BAT_010"/>
    <s v="ASAP"/>
    <x v="1"/>
    <s v="Nombre d'entrées physiques; _x000a_comptage: total mensuel du système à diviser par deux si comptabilise entrées et sorties"/>
    <x v="17"/>
    <n v="57373"/>
    <x v="1"/>
    <n v="1"/>
  </r>
  <r>
    <s v="REQ_010"/>
    <s v="ASAP"/>
    <x v="2"/>
    <s v="Nombre de sollicitations au guichet physique durant le mois"/>
    <x v="18"/>
    <n v="1121"/>
    <x v="1"/>
    <n v="1"/>
  </r>
  <r>
    <s v="USE_010"/>
    <s v="FDOC"/>
    <x v="0"/>
    <s v="Nombre de documents du fonds prêtés et sous prolongation durant le mois;_x000a_inclus: prêt en réseau, prêt entre bibliothèques; prêts sans prolongation"/>
    <x v="18"/>
    <n v="4946"/>
    <x v="1"/>
    <n v="1"/>
  </r>
  <r>
    <s v="BAT_010"/>
    <s v="ASAP"/>
    <x v="1"/>
    <s v="Nombre d'entrées physiques; _x000a_comptage: total mensuel du système à diviser par deux si comptabilise entrées et sorties"/>
    <x v="18"/>
    <n v="148031"/>
    <x v="1"/>
    <n v="1"/>
  </r>
  <r>
    <s v="USE_010"/>
    <s v="FDOC"/>
    <x v="0"/>
    <s v="Nombre de documents du fonds prêtés et sous prolongation durant le mois;_x000a_inclus: prêt en réseau, prêt entre bibliothèques; inclus les prêts sans prolongation"/>
    <x v="19"/>
    <n v="5172"/>
    <x v="2"/>
    <n v="4"/>
  </r>
  <r>
    <s v="BAT_010"/>
    <s v="ASAP"/>
    <x v="1"/>
    <s v="Nombre d'entrées physiques; _x000a_comptage: total mensuel du système à diviser par deux si comptabilise entrées et sorties"/>
    <x v="19"/>
    <n v="146319"/>
    <x v="2"/>
    <n v="4"/>
  </r>
  <r>
    <s v="REQ_010"/>
    <s v="ASAP"/>
    <x v="2"/>
    <s v="Nombre de sollicitations au guichet physique durant le mois"/>
    <x v="19"/>
    <n v="1141"/>
    <x v="2"/>
    <n v="4"/>
  </r>
  <r>
    <s v="USE_010"/>
    <s v="FDOC"/>
    <x v="0"/>
    <s v="Nombre de documents du fonds prêtés et sous prolongation durant le mois;_x000a_inclus: prêt en réseau, prêt entre bibliothèques; inclus les prêts sans prolongation"/>
    <x v="20"/>
    <n v="7972"/>
    <x v="2"/>
    <n v="4"/>
  </r>
  <r>
    <s v="REQ_010"/>
    <s v="ASAP"/>
    <x v="2"/>
    <s v="Nombre de sollicitations au guichet physique durant le mois"/>
    <x v="20"/>
    <n v="1622"/>
    <x v="2"/>
    <n v="4"/>
  </r>
  <r>
    <s v="BAT_010"/>
    <s v="ASAP"/>
    <x v="1"/>
    <s v="Nombre d'entrées physiques; _x000a_comptage: total mensuel du système à diviser par deux si comptabilise entrées et sorties"/>
    <x v="20"/>
    <n v="162715"/>
    <x v="2"/>
    <n v="4"/>
  </r>
  <r>
    <s v="USE_010"/>
    <s v="FDOC"/>
    <x v="0"/>
    <s v="Nombre de documents du fonds prêtés et sous prolongation durant le mois;_x000a_inclus: prêt en réseau, prêt entre bibliothèques; inclus les prêts sans prolongation"/>
    <x v="21"/>
    <n v="9763"/>
    <x v="2"/>
    <n v="4"/>
  </r>
  <r>
    <s v="BAT_010"/>
    <s v="ASAP"/>
    <x v="1"/>
    <s v="Nombre d'entrées physiques; _x000a_comptage: total mensuel du système à diviser par deux si comptabilise entrées et sorties"/>
    <x v="21"/>
    <n v="152519"/>
    <x v="2"/>
    <n v="4"/>
  </r>
  <r>
    <s v="REQ_010"/>
    <s v="ASAP"/>
    <x v="2"/>
    <s v="Nombre de sollicitations au guichet physique durant le mois"/>
    <x v="21"/>
    <n v="1723"/>
    <x v="2"/>
    <n v="4"/>
  </r>
  <r>
    <s v="USE_010"/>
    <s v="FDOC"/>
    <x v="0"/>
    <s v="Nombre de documents du fonds prêtés et sous prolongation durant le mois;_x000a_inclus: prêt en réseau, prêt entre bibliothèques; inclus les prêts sans prolongation"/>
    <x v="22"/>
    <n v="11078"/>
    <x v="2"/>
    <n v="3"/>
  </r>
  <r>
    <s v="BAT_010"/>
    <s v="ASAP"/>
    <x v="1"/>
    <s v="Nombre d'entrées physiques; _x000a_comptage: total mensuel du système à diviser par deux si comptabilise entrées et sorties"/>
    <x v="22"/>
    <n v="102435"/>
    <x v="2"/>
    <n v="3"/>
  </r>
  <r>
    <s v="REQ_010"/>
    <s v="ASAP"/>
    <x v="2"/>
    <s v="Nombre de sollicitations au guichet physique durant le mois"/>
    <x v="22"/>
    <n v="1479"/>
    <x v="2"/>
    <n v="3"/>
  </r>
  <r>
    <s v="USE_010"/>
    <s v="FDOC"/>
    <x v="0"/>
    <s v="Nombre de documents du fonds prêtés et sous prolongation durant le mois;_x000a_inclus: prêt en réseau, prêt entre bibliothèques; inclus les prêts sans prolongation"/>
    <x v="23"/>
    <n v="4021"/>
    <x v="2"/>
    <n v="3"/>
  </r>
  <r>
    <s v="REQ_010"/>
    <s v="ASAP"/>
    <x v="2"/>
    <s v="Nombre de sollicitations au guichet physique durant le mois"/>
    <x v="23"/>
    <n v="562"/>
    <x v="2"/>
    <n v="3"/>
  </r>
  <r>
    <s v="BAT_010"/>
    <s v="ASAP"/>
    <x v="1"/>
    <s v="Nombre d'entrées physiques; _x000a_comptage: total mensuel du système à diviser par deux si comptabilise entrées et sorties"/>
    <x v="23"/>
    <n v="42282"/>
    <x v="2"/>
    <n v="3"/>
  </r>
  <r>
    <s v="REQ_010"/>
    <s v="ASAP"/>
    <x v="2"/>
    <s v="Nombre de sollicitations au guichet physique durant le mois"/>
    <x v="24"/>
    <n v="667"/>
    <x v="2"/>
    <n v="3"/>
  </r>
  <r>
    <s v="USE_010"/>
    <s v="FDOC"/>
    <x v="0"/>
    <s v="Nombre de documents du fonds prêtés et sous prolongation durant le mois;_x000a_inclus: prêt en réseau, prêt entre bibliothèques; inclus les prêts sans prolongation"/>
    <x v="24"/>
    <n v="5050"/>
    <x v="2"/>
    <n v="3"/>
  </r>
  <r>
    <s v="BAT_010"/>
    <s v="ASAP"/>
    <x v="1"/>
    <s v="Nombre d'entrées physiques; _x000a_comptage: total mensuel du système à diviser par deux si comptabilise entrées et sorties"/>
    <x v="24"/>
    <n v="34149"/>
    <x v="2"/>
    <n v="3"/>
  </r>
  <r>
    <s v="USE_010"/>
    <s v="FDOC"/>
    <x v="0"/>
    <s v="Nombre de documents du fonds prêtés et sous prolongation durant le mois;_x000a_inclus: prêt en réseau, prêt entre bibliothèques; inclus les prêts sans prolongation"/>
    <x v="25"/>
    <n v="5842"/>
    <x v="2"/>
    <n v="2"/>
  </r>
  <r>
    <s v="REQ_010"/>
    <s v="ASAP"/>
    <x v="2"/>
    <s v="Nombre de sollicitations au guichet physique durant le mois"/>
    <x v="25"/>
    <n v="1119"/>
    <x v="2"/>
    <n v="2"/>
  </r>
  <r>
    <s v="BAT_010"/>
    <s v="ASAP"/>
    <x v="1"/>
    <s v="Nombre d'entrées physiques; _x000a_comptage: total mensuel du système à diviser par deux si comptabilise entrées et sorties"/>
    <x v="25"/>
    <n v="142138"/>
    <x v="2"/>
    <n v="2"/>
  </r>
  <r>
    <s v="USE_010"/>
    <s v="FDOC"/>
    <x v="0"/>
    <s v="Nombre de documents du fonds prêtés et sous prolongation durant le mois;_x000a_inclus: prêt en réseau, prêt entre bibliothèques; inclus les prêts sans prolongation"/>
    <x v="26"/>
    <n v="7189"/>
    <x v="2"/>
    <n v="2"/>
  </r>
  <r>
    <s v="BAT_010"/>
    <s v="ASAP"/>
    <x v="1"/>
    <s v="Nombre d'entrées physiques; _x000a_comptage: total mensuel du système à diviser par deux si comptabilise entrées et sorties"/>
    <x v="26"/>
    <n v="166846"/>
    <x v="2"/>
    <n v="2"/>
  </r>
  <r>
    <s v="REQ_010"/>
    <s v="ASAP"/>
    <x v="2"/>
    <s v="Nombre de sollicitations au guichet physique durant le mois"/>
    <x v="26"/>
    <n v="1259"/>
    <x v="2"/>
    <n v="2"/>
  </r>
  <r>
    <s v="REQ_010"/>
    <s v="ASAP"/>
    <x v="2"/>
    <s v="Nombre de sollicitations au guichet physique durant le mois"/>
    <x v="27"/>
    <n v="1386"/>
    <x v="2"/>
    <n v="2"/>
  </r>
  <r>
    <s v="BAT_010"/>
    <s v="ASAP"/>
    <x v="1"/>
    <s v="Nombre d'entrées physiques; _x000a_comptage: total mensuel du système à diviser par deux si comptabilise entrées et sorties"/>
    <x v="27"/>
    <n v="141282"/>
    <x v="2"/>
    <n v="2"/>
  </r>
  <r>
    <s v="USE_010"/>
    <s v="FDOC"/>
    <x v="0"/>
    <s v="Nombre de documents du fonds prêtés et sous prolongation durant le mois;_x000a_inclus: prêt en réseau, prêt entre bibliothèques; inclus les prêts sans prolongation"/>
    <x v="27"/>
    <n v="8486"/>
    <x v="2"/>
    <n v="2"/>
  </r>
  <r>
    <s v="REQ_010"/>
    <s v="ASAP"/>
    <x v="2"/>
    <s v="Nombre de sollicitations au guichet physique durant le mois"/>
    <x v="28"/>
    <n v="1242"/>
    <x v="2"/>
    <n v="1"/>
  </r>
  <r>
    <s v="BAT_010"/>
    <s v="ASAP"/>
    <x v="1"/>
    <s v="Nombre d'entrées physiques; _x000a_comptage: total mensuel du système à diviser par deux si comptabilise entrées et sorties"/>
    <x v="28"/>
    <n v="121504"/>
    <x v="2"/>
    <n v="1"/>
  </r>
  <r>
    <s v="USE_010"/>
    <s v="FDOC"/>
    <x v="0"/>
    <s v="Nombre de documents du fonds prêtés et sous prolongation durant le mois;_x000a_inclus: prêt en réseau, prêt entre bibliothèques; inclus les prêts sans prolongation"/>
    <x v="28"/>
    <n v="9614"/>
    <x v="2"/>
    <n v="1"/>
  </r>
  <r>
    <s v="USE_010"/>
    <s v="FDOC"/>
    <x v="0"/>
    <s v="Nombre de documents du fonds prêtés et sous prolongation durant le mois;_x000a_inclus: prêt en réseau, prêt entre bibliothèques; inclus les prêts sans prolongation"/>
    <x v="29"/>
    <n v="10092"/>
    <x v="2"/>
    <n v="1"/>
  </r>
  <r>
    <s v="BAT_010"/>
    <s v="ASAP"/>
    <x v="1"/>
    <s v="Nombre d'entrées physiques; _x000a_comptage: total mensuel du système à diviser par deux si comptabilise entrées et sorties"/>
    <x v="29"/>
    <n v="54995"/>
    <x v="2"/>
    <n v="1"/>
  </r>
  <r>
    <s v="REQ_010"/>
    <s v="ASAP"/>
    <x v="2"/>
    <s v="Nombre de sollicitations au guichet physique durant le mois"/>
    <x v="29"/>
    <n v="1140"/>
    <x v="2"/>
    <n v="1"/>
  </r>
  <r>
    <s v="REQ_010"/>
    <s v="ASAP"/>
    <x v="2"/>
    <s v="Nombre de sollicitations au guichet physique durant le mois"/>
    <x v="30"/>
    <n v="1308"/>
    <x v="2"/>
    <n v="1"/>
  </r>
  <r>
    <s v="BAT_010"/>
    <s v="ASAP"/>
    <x v="1"/>
    <s v="Nombre d'entrées physiques; _x000a_comptage: total mensuel du système à diviser par deux si comptabilise entrées et sorties"/>
    <x v="30"/>
    <n v="154483"/>
    <x v="2"/>
    <n v="1"/>
  </r>
  <r>
    <s v="USE_010"/>
    <s v="FDOC"/>
    <x v="0"/>
    <s v="Nombre de documents du fonds prêtés et sous prolongation durant le mois;_x000a_inclus: prêt en réseau, prêt entre bibliothèques; inclus les prêts sans prolongation"/>
    <x v="30"/>
    <n v="7141"/>
    <x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C0E33A-FFC3-48F3-AE6D-CA1474801F68}" name="Tableau croisé dynamique1" cacheId="0" applyNumberFormats="0" applyBorderFormats="0" applyFontFormats="0" applyPatternFormats="0" applyAlignmentFormats="0" applyWidthHeightFormats="1" dataCaption="Valeurs" updatedVersion="8" minRefreshableVersion="3" itemPrintTitles="1" createdVersion="8" indent="0" outline="1" outlineData="1" multipleFieldFilters="0">
  <location ref="B22:H58" firstHeaderRow="0" firstDataRow="1" firstDataCol="1"/>
  <pivotFields count="11">
    <pivotField showAll="0"/>
    <pivotField showAll="0"/>
    <pivotField axis="axisRow" showAll="0">
      <items count="4">
        <item x="1"/>
        <item h="1" x="2"/>
        <item h="1" x="0"/>
        <item t="default"/>
      </items>
    </pivotField>
    <pivotField showAll="0"/>
    <pivotField numFmtId="14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164" showAll="0"/>
    <pivotField showAll="0">
      <items count="4">
        <item x="2"/>
        <item x="1"/>
        <item x="0"/>
        <item t="default"/>
      </items>
    </pivotField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 sortType="descending">
      <items count="6">
        <item x="3"/>
        <item x="2"/>
        <item x="1"/>
        <item sd="0" x="4"/>
        <item sd="0" x="0"/>
        <item t="default"/>
      </items>
    </pivotField>
  </pivotFields>
  <rowFields count="3">
    <field x="2"/>
    <field x="10"/>
    <field x="8"/>
  </rowFields>
  <rowItems count="36">
    <i>
      <x/>
    </i>
    <i r="1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Total" fld="5" baseField="2" baseItem="0" numFmtId="164"/>
    <dataField name="  " fld="5" baseField="0" baseItem="0" numFmtId="164"/>
    <dataField name="PCT mois/année" fld="5" baseField="10" baseItem="0" numFmtId="165">
      <extLst>
        <ext xmlns:x14="http://schemas.microsoft.com/office/spreadsheetml/2009/9/main" uri="{E15A36E0-9728-4e99-A89B-3F7291B0FE68}">
          <x14:dataField pivotShowAs="percentOfParent"/>
        </ext>
      </extLst>
    </dataField>
    <dataField name="PCT Variation" fld="5" showDataAs="percentDiff" baseField="8" baseItem="1048828" numFmtId="10"/>
    <dataField name="Cumul" fld="5" showDataAs="runTotal" baseField="8" baseItem="6" numFmtId="164"/>
    <dataField name="Ranking" fld="5" subtotal="product" baseField="8" baseItem="2">
      <extLst>
        <ext xmlns:x14="http://schemas.microsoft.com/office/spreadsheetml/2009/9/main" uri="{E15A36E0-9728-4e99-A89B-3F7291B0FE68}">
          <x14:dataField pivotShowAs="rankDescending"/>
        </ext>
      </extLst>
    </dataField>
  </dataFields>
  <formats count="15">
    <format dxfId="16">
      <pivotArea collapsedLevelsAreSubtotals="1" fieldPosition="0">
        <references count="2">
          <reference field="4294967294" count="1" selected="0">
            <x v="1"/>
          </reference>
          <reference field="2" count="0"/>
        </references>
      </pivotArea>
    </format>
    <format dxfId="15">
      <pivotArea field="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4">
      <pivotArea outline="0" fieldPosition="0">
        <references count="1">
          <reference field="4294967294" count="1">
            <x v="2"/>
          </reference>
        </references>
      </pivotArea>
    </format>
    <format dxfId="13">
      <pivotArea outline="0" fieldPosition="0">
        <references count="1">
          <reference field="4294967294" count="1">
            <x v="3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">
      <pivotArea dataOnly="0" labelOnly="1" fieldPosition="0">
        <references count="1">
          <reference field="2" count="0"/>
        </references>
      </pivotArea>
    </format>
    <format dxfId="10">
      <pivotArea collapsedLevelsAreSubtotals="1" fieldPosition="0">
        <references count="3">
          <reference field="4294967294" count="1" selected="0">
            <x v="0"/>
          </reference>
          <reference field="2" count="0" selected="0"/>
          <reference field="10" count="1">
            <x v="0"/>
          </reference>
        </references>
      </pivotArea>
    </format>
    <format dxfId="9">
      <pivotArea collapsedLevelsAreSubtotals="1" fieldPosition="0">
        <references count="4">
          <reference field="4294967294" count="1" selected="0">
            <x v="0"/>
          </reference>
          <reference field="2" count="0" selected="0"/>
          <reference field="8" count="7">
            <x v="1"/>
            <x v="2"/>
            <x v="3"/>
            <x v="4"/>
            <x v="5"/>
            <x v="6"/>
            <x v="7"/>
          </reference>
          <reference field="10" count="1" selected="0">
            <x v="0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0"/>
          </reference>
          <reference field="2" count="0" selected="0"/>
          <reference field="10" count="1">
            <x v="1"/>
          </reference>
        </references>
      </pivotArea>
    </format>
    <format dxfId="7">
      <pivotArea collapsedLevelsAreSubtotals="1" fieldPosition="0">
        <references count="4">
          <reference field="4294967294" count="1" selected="0">
            <x v="0"/>
          </reference>
          <reference field="2" count="0" selected="0"/>
          <reference field="8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0" count="1" selected="0">
            <x v="1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0"/>
          </reference>
          <reference field="2" count="0" selected="0"/>
          <reference field="10" count="1">
            <x v="2"/>
          </reference>
        </references>
      </pivotArea>
    </format>
    <format dxfId="5">
      <pivotArea collapsedLevelsAreSubtotals="1" fieldPosition="0">
        <references count="4">
          <reference field="4294967294" count="1" selected="0">
            <x v="0"/>
          </reference>
          <reference field="2" count="0" selected="0"/>
          <reference field="8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0" count="1" selected="0">
            <x v="2"/>
          </reference>
        </references>
      </pivotArea>
    </format>
    <format dxfId="4">
      <pivotArea dataOnly="0" outline="0" fieldPosition="0">
        <references count="1">
          <reference field="4294967294" count="1">
            <x v="0"/>
          </reference>
        </references>
      </pivotArea>
    </format>
    <format dxfId="3">
      <pivotArea outline="0" fieldPosition="0">
        <references count="1">
          <reference field="4294967294" count="1">
            <x v="5"/>
          </reference>
        </references>
      </pivotArea>
    </format>
    <format dxfId="2">
      <pivotArea dataOnly="0" outline="0" fieldPosition="0">
        <references count="1">
          <reference field="4294967294" count="2">
            <x v="4"/>
            <x v="5"/>
          </reference>
        </references>
      </pivotArea>
    </format>
  </formats>
  <conditionalFormats count="38">
    <conditionalFormat priority="1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0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1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priority="10">
      <pivotAreas count="2">
        <pivotArea type="data" collapsedLevelsAreSubtotals="1" fieldPosition="0">
          <references count="4">
            <reference field="4294967294" count="1" selected="0">
              <x v="4"/>
            </reference>
            <reference field="2" count="1" selected="0">
              <x v="2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4"/>
            </reference>
            <reference field="2" count="1" selected="0">
              <x v="2"/>
            </reference>
            <reference field="10" count="1">
              <x v="0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13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0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16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1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2" count="1" selected="0">
              <x v="2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22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2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25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1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priority="26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priority="27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0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type="all" priority="28">
      <pivotAreas count="1">
        <pivotArea type="data" collapsedLevelsAreSubtotals="1" fieldPosition="0">
          <references count="4">
            <reference field="4294967294" count="1" selected="0">
              <x v="2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29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type="all" priority="30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0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31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0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type="all" priority="32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1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type="all" priority="33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type="all" priority="34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1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37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2"/>
            </reference>
          </references>
        </pivotArea>
      </pivotAreas>
    </conditionalFormat>
    <conditionalFormat type="all" priority="38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2"/>
            </reference>
            <reference field="8" count="12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0" count="1" selected="0">
              <x v="1"/>
            </reference>
          </references>
        </pivotArea>
      </pivotAreas>
    </conditionalFormat>
    <conditionalFormat type="all" priority="39">
      <pivotAreas count="1">
        <pivotArea type="data" collapsedLevelsAreSubtotals="1" fieldPosition="0">
          <references count="4">
            <reference field="4294967294" count="1" selected="0">
              <x v="3"/>
            </reference>
            <reference field="2" count="1" selected="0">
              <x v="2"/>
            </reference>
            <reference field="8" count="7">
              <x v="1"/>
              <x v="2"/>
              <x v="3"/>
              <x v="4"/>
              <x v="5"/>
              <x v="6"/>
              <x v="7"/>
            </reference>
            <reference field="10" count="1" selected="0">
              <x v="0"/>
            </reference>
          </references>
        </pivotArea>
      </pivotAreas>
    </conditionalFormat>
    <conditionalFormat scope="field" priority="40">
      <pivotAreas count="1">
        <pivotArea outline="0" collapsedLevelsAreSubtotals="1" fieldPosition="0">
          <references count="2">
            <reference field="4294967294" count="1" selected="0">
              <x v="1"/>
            </reference>
            <reference field="10" count="0" selected="0"/>
          </references>
        </pivotArea>
      </pivotAreas>
    </conditionalFormat>
    <conditionalFormat scope="field" priority="41">
      <pivotAreas count="1">
        <pivotArea outline="0" collapsedLevelsAreSubtotals="1" fieldPosition="0">
          <references count="2">
            <reference field="4294967294" count="1" selected="0">
              <x v="1"/>
            </reference>
            <reference field="8" count="0" selected="0"/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05DC8FD5-C4D1-4D5C-BD1E-B15CDD3ED503}" autoFormatId="16" applyNumberFormats="0" applyBorderFormats="0" applyFontFormats="0" applyPatternFormats="0" applyAlignmentFormats="0" applyWidthHeightFormats="0">
  <queryTableRefresh nextId="42">
    <queryTableFields count="9">
      <queryTableField id="33" name="N° Indicateur" tableColumnId="1"/>
      <queryTableField id="34" name="Équipe" tableColumnId="2"/>
      <queryTableField id="35" name="Indicateur" tableColumnId="3"/>
      <queryTableField id="36" name="Descriptif indicateur" tableColumnId="4"/>
      <queryTableField id="37" name="Date" tableColumnId="5"/>
      <queryTableField id="38" name="Valeur" tableColumnId="6"/>
      <queryTableField id="39" name="Année" tableColumnId="7"/>
      <queryTableField id="40" name="Trimestre" tableColumnId="8"/>
      <queryTableField id="41" name="Mois" tableColumnId="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Année1" xr10:uid="{1E97449C-AF80-40B4-82A1-6B65B5F3AAE2}" sourceName="Année">
  <pivotTables>
    <pivotTable tabId="5" name="Tableau croisé dynamique1"/>
  </pivotTables>
  <data>
    <tabular pivotCacheId="96414546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Indicateur1" xr10:uid="{6FD14F33-D0C4-4D55-AD9C-2DC3FAB2A59E}" sourceName="Indicateur">
  <pivotTables>
    <pivotTable tabId="5" name="Tableau croisé dynamique1"/>
  </pivotTables>
  <data>
    <tabular pivotCacheId="96414546">
      <items count="3">
        <i x="1" s="1"/>
        <i x="2"/>
        <i x="0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Équipe" xr10:uid="{773F07ED-BD82-4DDF-B602-B61EC366C072}" sourceName="Équip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Indicateur" xr10:uid="{5FA84EBF-DB07-433C-BBFD-65499FB8B259}" sourceName="Indicateur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Année" xr10:uid="{9F4DB696-6809-4026-A97E-8215E4A38FA7}" sourceName="Année">
  <extLst>
    <x:ext xmlns:x15="http://schemas.microsoft.com/office/spreadsheetml/2010/11/main" uri="{2F2917AC-EB37-4324-AD4E-5DD8C200BD13}">
      <x15:tableSlicerCache tableId="1" column="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Équipe 1" xr10:uid="{AA86F4E5-375B-4B7F-9EB0-AFE7C11C5323}" cache="Segment_Équipe" caption="Équipe" style="SlicerStyleLight3" rowHeight="209550"/>
  <slicer name="Indicateur 1" xr10:uid="{6A4648FC-75E6-4751-82AF-C3D1ACF46842}" cache="Segment_Indicateur" caption="Indicateur" style="SlicerStyleLight3" rowHeight="209550"/>
  <slicer name="Année 1" xr10:uid="{207F924A-96F0-40C0-8BAC-2F03F113F7E9}" cache="Segment_Année" caption="Année" style="SlicerStyleLight3" rowHeight="2095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née" xr10:uid="{FDDF79ED-5012-408F-B911-C046A9ABDCF5}" cache="Segment_Année1" caption="Année" rowHeight="209550"/>
  <slicer name="Indicateur" xr10:uid="{97DDF84B-54EC-47BA-BF2E-D03B75A59078}" cache="Segment_Indicateur1" caption="Indicateur" rowHeight="2095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9E059-137D-498E-A322-61F9F71A6F70}" name="TBL_USEP" displayName="TBL_USEP" ref="A1:I94" tableType="queryTable" totalsRowShown="0">
  <autoFilter ref="A1:I94" xr:uid="{33B9E059-137D-498E-A322-61F9F71A6F70}">
    <filterColumn colId="2">
      <filters>
        <filter val="Usage : Prêts  locaux + PER + PEB avec prolongations (nombre)"/>
      </filters>
    </filterColumn>
  </autoFilter>
  <tableColumns count="9">
    <tableColumn id="1" xr3:uid="{0F66D3A9-234A-4160-8258-A88E37280EFC}" uniqueName="1" name="N° Indicateur" queryTableFieldId="33"/>
    <tableColumn id="2" xr3:uid="{5FA5656A-68E5-4D5C-A577-2A79E5067D98}" uniqueName="2" name="Équipe" queryTableFieldId="34"/>
    <tableColumn id="3" xr3:uid="{48D41A36-B144-49F1-9BED-2AB24FEECA01}" uniqueName="3" name="Indicateur" queryTableFieldId="35"/>
    <tableColumn id="4" xr3:uid="{862370D0-F8C1-419C-9EB8-90DC69C378AA}" uniqueName="4" name="Descriptif indicateur" queryTableFieldId="36"/>
    <tableColumn id="5" xr3:uid="{A492381D-1E31-4D09-B92A-42120112A82C}" uniqueName="5" name="Date" queryTableFieldId="37" dataDxfId="1"/>
    <tableColumn id="6" xr3:uid="{99581C3A-C980-40D7-B8E7-DA35C5FDBBEC}" uniqueName="6" name="Valeur" queryTableFieldId="38" dataDxfId="0" dataCellStyle="Milliers"/>
    <tableColumn id="7" xr3:uid="{CA3958BF-BD7A-4B32-93D6-8ED9CA9F74F9}" uniqueName="7" name="Année" queryTableFieldId="39"/>
    <tableColumn id="8" xr3:uid="{4134FAD0-E48D-43B1-983B-537AD01FCF6F}" uniqueName="8" name="Trimestre" queryTableFieldId="40"/>
    <tableColumn id="9" xr3:uid="{5B102BD1-F29F-474E-B22B-0EF6BC643C5B}" uniqueName="9" name="Mois" queryTableFieldId="4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EPFL-SISB-Officiel">
      <a:dk1>
        <a:srgbClr val="413C3A"/>
      </a:dk1>
      <a:lt1>
        <a:srgbClr val="FFFFFF"/>
      </a:lt1>
      <a:dk2>
        <a:srgbClr val="413C3A"/>
      </a:dk2>
      <a:lt2>
        <a:srgbClr val="CAC7C7"/>
      </a:lt2>
      <a:accent1>
        <a:srgbClr val="E30613"/>
      </a:accent1>
      <a:accent2>
        <a:srgbClr val="00A79F"/>
      </a:accent2>
      <a:accent3>
        <a:srgbClr val="413C3A"/>
      </a:accent3>
      <a:accent4>
        <a:srgbClr val="007480"/>
      </a:accent4>
      <a:accent5>
        <a:srgbClr val="F39869"/>
      </a:accent5>
      <a:accent6>
        <a:srgbClr val="B51F1F"/>
      </a:accent6>
      <a:hlink>
        <a:srgbClr val="ED6E9C"/>
      </a:hlink>
      <a:folHlink>
        <a:srgbClr val="4F8FC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F2978-493E-4A13-B2FD-4F12A8C5743D}">
  <dimension ref="A1:P94"/>
  <sheetViews>
    <sheetView showGridLines="0" workbookViewId="0">
      <selection activeCell="C90" sqref="C90"/>
    </sheetView>
  </sheetViews>
  <sheetFormatPr baseColWidth="10" defaultRowHeight="12" x14ac:dyDescent="0.2"/>
  <cols>
    <col min="1" max="1" width="15.83203125" bestFit="1" customWidth="1"/>
    <col min="2" max="2" width="10" bestFit="1" customWidth="1"/>
    <col min="3" max="3" width="55.5" bestFit="1" customWidth="1"/>
    <col min="4" max="4" width="81.33203125" bestFit="1" customWidth="1"/>
    <col min="5" max="5" width="10.1640625" bestFit="1" customWidth="1"/>
    <col min="6" max="6" width="9.6640625" bestFit="1" customWidth="1"/>
    <col min="7" max="7" width="9.5" bestFit="1" customWidth="1"/>
    <col min="8" max="8" width="12.33203125" bestFit="1" customWidth="1"/>
    <col min="9" max="9" width="8" bestFit="1" customWidth="1"/>
    <col min="10" max="11" width="15.1640625" bestFit="1" customWidth="1"/>
    <col min="12" max="12" width="7.6640625" bestFit="1" customWidth="1"/>
    <col min="13" max="13" width="10.33203125" bestFit="1" customWidth="1"/>
    <col min="14" max="14" width="15.83203125" bestFit="1" customWidth="1"/>
    <col min="15" max="15" width="10" bestFit="1" customWidth="1"/>
    <col min="16" max="16" width="55.5" bestFit="1" customWidth="1"/>
    <col min="17" max="17" width="81.33203125" bestFit="1" customWidth="1"/>
    <col min="18" max="18" width="10.1640625" bestFit="1" customWidth="1"/>
    <col min="19" max="19" width="9.83203125" bestFit="1" customWidth="1"/>
    <col min="20" max="20" width="10.33203125" bestFit="1" customWidth="1"/>
    <col min="21" max="22" width="9.1640625" bestFit="1" customWidth="1"/>
    <col min="23" max="23" width="9" bestFit="1" customWidth="1"/>
    <col min="24" max="24" width="9.1640625" bestFit="1" customWidth="1"/>
    <col min="25" max="25" width="9.83203125" bestFit="1" customWidth="1"/>
    <col min="26" max="26" width="10.33203125" bestFit="1" customWidth="1"/>
    <col min="27" max="27" width="9.33203125" bestFit="1" customWidth="1"/>
    <col min="28" max="28" width="9.6640625" bestFit="1" customWidth="1"/>
    <col min="29" max="29" width="9.83203125" bestFit="1" customWidth="1"/>
    <col min="30" max="30" width="10.1640625" bestFit="1" customWidth="1"/>
    <col min="31" max="31" width="9.83203125" bestFit="1" customWidth="1"/>
    <col min="32" max="32" width="10.33203125" bestFit="1" customWidth="1"/>
    <col min="33" max="34" width="9.1640625" bestFit="1" customWidth="1"/>
    <col min="35" max="35" width="9" bestFit="1" customWidth="1"/>
    <col min="36" max="36" width="9.1640625" bestFit="1" customWidth="1"/>
    <col min="37" max="37" width="9.83203125" bestFit="1" customWidth="1"/>
    <col min="38" max="38" width="10.33203125" bestFit="1" customWidth="1"/>
    <col min="39" max="39" width="9.33203125" bestFit="1" customWidth="1"/>
    <col min="40" max="40" width="9.6640625" bestFit="1" customWidth="1"/>
    <col min="41" max="41" width="9.83203125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</v>
      </c>
      <c r="H1" t="s">
        <v>20</v>
      </c>
      <c r="I1" t="s">
        <v>24</v>
      </c>
      <c r="O1" s="2" t="s">
        <v>21</v>
      </c>
      <c r="P1" t="str" cm="1">
        <f t="array" aca="1" ref="P1" ca="1">IFERROR(INDEX(_xlfn._xlws.FILTER(TBL_USEP[Indicateur],SUBTOTAL(103,OFFSET(INDEX(TBL_USEP[Indicateur],1),ROW(TBL_USEP[Indicateur])-ROW(INDEX(TBL_USEP[Indicateur],1)),0))=1),1),"Aucun indicateur")</f>
        <v>Usage : Prêts  locaux + PER + PEB avec prolongations (nombre)</v>
      </c>
    </row>
    <row r="2" spans="1:16" x14ac:dyDescent="0.2">
      <c r="A2" t="s">
        <v>10</v>
      </c>
      <c r="B2" t="s">
        <v>11</v>
      </c>
      <c r="C2" t="s">
        <v>12</v>
      </c>
      <c r="D2" t="s">
        <v>13</v>
      </c>
      <c r="E2" s="1">
        <v>46234</v>
      </c>
      <c r="F2" s="5">
        <v>1639</v>
      </c>
      <c r="G2">
        <v>2026</v>
      </c>
      <c r="H2">
        <v>3</v>
      </c>
      <c r="I2">
        <v>7</v>
      </c>
    </row>
    <row r="3" spans="1:16" hidden="1" x14ac:dyDescent="0.2">
      <c r="A3" t="s">
        <v>6</v>
      </c>
      <c r="B3" t="s">
        <v>7</v>
      </c>
      <c r="C3" t="s">
        <v>8</v>
      </c>
      <c r="D3" t="s">
        <v>9</v>
      </c>
      <c r="E3" s="1">
        <v>46234</v>
      </c>
      <c r="F3" s="5">
        <v>28845</v>
      </c>
      <c r="G3">
        <v>2026</v>
      </c>
      <c r="H3">
        <v>3</v>
      </c>
      <c r="I3">
        <v>7</v>
      </c>
    </row>
    <row r="4" spans="1:16" hidden="1" x14ac:dyDescent="0.2">
      <c r="A4" t="s">
        <v>14</v>
      </c>
      <c r="B4" t="s">
        <v>7</v>
      </c>
      <c r="C4" t="s">
        <v>15</v>
      </c>
      <c r="D4" t="s">
        <v>16</v>
      </c>
      <c r="E4" s="1">
        <v>46234</v>
      </c>
      <c r="F4" s="5">
        <v>825</v>
      </c>
      <c r="G4">
        <v>2026</v>
      </c>
      <c r="H4">
        <v>3</v>
      </c>
      <c r="I4">
        <v>7</v>
      </c>
    </row>
    <row r="5" spans="1:16" hidden="1" x14ac:dyDescent="0.2">
      <c r="A5" t="s">
        <v>14</v>
      </c>
      <c r="B5" t="s">
        <v>7</v>
      </c>
      <c r="C5" t="s">
        <v>15</v>
      </c>
      <c r="D5" t="s">
        <v>16</v>
      </c>
      <c r="E5" s="1">
        <v>46203</v>
      </c>
      <c r="F5" s="5">
        <v>1518</v>
      </c>
      <c r="G5">
        <v>2026</v>
      </c>
      <c r="H5">
        <v>2</v>
      </c>
      <c r="I5">
        <v>6</v>
      </c>
    </row>
    <row r="6" spans="1:16" x14ac:dyDescent="0.2">
      <c r="A6" t="s">
        <v>10</v>
      </c>
      <c r="B6" t="s">
        <v>11</v>
      </c>
      <c r="C6" t="s">
        <v>12</v>
      </c>
      <c r="D6" t="s">
        <v>13</v>
      </c>
      <c r="E6" s="1">
        <v>46203</v>
      </c>
      <c r="F6" s="5">
        <v>3141</v>
      </c>
      <c r="G6">
        <v>2026</v>
      </c>
      <c r="H6">
        <v>2</v>
      </c>
      <c r="I6">
        <v>6</v>
      </c>
    </row>
    <row r="7" spans="1:16" hidden="1" x14ac:dyDescent="0.2">
      <c r="A7" t="s">
        <v>6</v>
      </c>
      <c r="B7" t="s">
        <v>7</v>
      </c>
      <c r="C7" t="s">
        <v>8</v>
      </c>
      <c r="D7" t="s">
        <v>9</v>
      </c>
      <c r="E7" s="1">
        <v>46203</v>
      </c>
      <c r="F7" s="5">
        <v>169129</v>
      </c>
      <c r="G7">
        <v>2026</v>
      </c>
      <c r="H7">
        <v>2</v>
      </c>
      <c r="I7">
        <v>6</v>
      </c>
    </row>
    <row r="8" spans="1:16" hidden="1" x14ac:dyDescent="0.2">
      <c r="A8" t="s">
        <v>14</v>
      </c>
      <c r="B8" t="s">
        <v>7</v>
      </c>
      <c r="C8" t="s">
        <v>15</v>
      </c>
      <c r="D8" t="s">
        <v>16</v>
      </c>
      <c r="E8" s="1">
        <v>46173</v>
      </c>
      <c r="F8" s="5">
        <v>1667</v>
      </c>
      <c r="G8">
        <v>2026</v>
      </c>
      <c r="H8">
        <v>2</v>
      </c>
      <c r="I8">
        <v>5</v>
      </c>
    </row>
    <row r="9" spans="1:16" hidden="1" x14ac:dyDescent="0.2">
      <c r="A9" t="s">
        <v>6</v>
      </c>
      <c r="B9" t="s">
        <v>7</v>
      </c>
      <c r="C9" t="s">
        <v>8</v>
      </c>
      <c r="D9" t="s">
        <v>9</v>
      </c>
      <c r="E9" s="1">
        <v>46173</v>
      </c>
      <c r="F9" s="5">
        <v>210289</v>
      </c>
      <c r="G9">
        <v>2026</v>
      </c>
      <c r="H9">
        <v>2</v>
      </c>
      <c r="I9">
        <v>5</v>
      </c>
    </row>
    <row r="10" spans="1:16" x14ac:dyDescent="0.2">
      <c r="A10" t="s">
        <v>10</v>
      </c>
      <c r="B10" t="s">
        <v>11</v>
      </c>
      <c r="C10" t="s">
        <v>12</v>
      </c>
      <c r="D10" t="s">
        <v>13</v>
      </c>
      <c r="E10" s="1">
        <v>46173</v>
      </c>
      <c r="F10" s="5">
        <v>4215</v>
      </c>
      <c r="G10">
        <v>2026</v>
      </c>
      <c r="H10">
        <v>2</v>
      </c>
      <c r="I10">
        <v>5</v>
      </c>
    </row>
    <row r="11" spans="1:16" x14ac:dyDescent="0.2">
      <c r="A11" t="s">
        <v>10</v>
      </c>
      <c r="B11" t="s">
        <v>11</v>
      </c>
      <c r="C11" t="s">
        <v>12</v>
      </c>
      <c r="D11" t="s">
        <v>13</v>
      </c>
      <c r="E11" s="1">
        <v>46142</v>
      </c>
      <c r="F11" s="5">
        <v>5243</v>
      </c>
      <c r="G11">
        <v>2026</v>
      </c>
      <c r="H11">
        <v>2</v>
      </c>
      <c r="I11">
        <v>4</v>
      </c>
    </row>
    <row r="12" spans="1:16" hidden="1" x14ac:dyDescent="0.2">
      <c r="A12" t="s">
        <v>14</v>
      </c>
      <c r="B12" t="s">
        <v>7</v>
      </c>
      <c r="C12" t="s">
        <v>15</v>
      </c>
      <c r="D12" t="s">
        <v>16</v>
      </c>
      <c r="E12" s="1">
        <v>46142</v>
      </c>
      <c r="F12" s="5">
        <v>1546</v>
      </c>
      <c r="G12">
        <v>2026</v>
      </c>
      <c r="H12">
        <v>2</v>
      </c>
      <c r="I12">
        <v>4</v>
      </c>
    </row>
    <row r="13" spans="1:16" hidden="1" x14ac:dyDescent="0.2">
      <c r="A13" t="s">
        <v>6</v>
      </c>
      <c r="B13" t="s">
        <v>7</v>
      </c>
      <c r="C13" t="s">
        <v>8</v>
      </c>
      <c r="D13" t="s">
        <v>9</v>
      </c>
      <c r="E13" s="1">
        <v>46142</v>
      </c>
      <c r="F13" s="5">
        <v>172017</v>
      </c>
      <c r="G13">
        <v>2026</v>
      </c>
      <c r="H13">
        <v>2</v>
      </c>
      <c r="I13">
        <v>4</v>
      </c>
    </row>
    <row r="14" spans="1:16" hidden="1" x14ac:dyDescent="0.2">
      <c r="A14" t="s">
        <v>14</v>
      </c>
      <c r="B14" t="s">
        <v>7</v>
      </c>
      <c r="C14" t="s">
        <v>15</v>
      </c>
      <c r="D14" t="s">
        <v>16</v>
      </c>
      <c r="E14" s="1">
        <v>46112</v>
      </c>
      <c r="F14" s="5">
        <v>1970</v>
      </c>
      <c r="G14">
        <v>2026</v>
      </c>
      <c r="H14">
        <v>1</v>
      </c>
      <c r="I14">
        <v>3</v>
      </c>
    </row>
    <row r="15" spans="1:16" hidden="1" x14ac:dyDescent="0.2">
      <c r="A15" t="s">
        <v>6</v>
      </c>
      <c r="B15" t="s">
        <v>7</v>
      </c>
      <c r="C15" t="s">
        <v>8</v>
      </c>
      <c r="D15" t="s">
        <v>9</v>
      </c>
      <c r="E15" s="1">
        <v>46112</v>
      </c>
      <c r="F15" s="5">
        <v>175830</v>
      </c>
      <c r="G15">
        <v>2026</v>
      </c>
      <c r="H15">
        <v>1</v>
      </c>
      <c r="I15">
        <v>3</v>
      </c>
    </row>
    <row r="16" spans="1:16" x14ac:dyDescent="0.2">
      <c r="A16" t="s">
        <v>10</v>
      </c>
      <c r="B16" t="s">
        <v>11</v>
      </c>
      <c r="C16" t="s">
        <v>12</v>
      </c>
      <c r="D16" t="s">
        <v>13</v>
      </c>
      <c r="E16" s="1">
        <v>46112</v>
      </c>
      <c r="F16" s="5">
        <v>7262</v>
      </c>
      <c r="G16">
        <v>2026</v>
      </c>
      <c r="H16">
        <v>1</v>
      </c>
      <c r="I16">
        <v>3</v>
      </c>
    </row>
    <row r="17" spans="1:9" hidden="1" x14ac:dyDescent="0.2">
      <c r="A17" t="s">
        <v>6</v>
      </c>
      <c r="B17" t="s">
        <v>7</v>
      </c>
      <c r="C17" t="s">
        <v>8</v>
      </c>
      <c r="D17" t="s">
        <v>9</v>
      </c>
      <c r="E17" s="1">
        <v>46081</v>
      </c>
      <c r="F17" s="5">
        <v>50727</v>
      </c>
      <c r="G17">
        <v>2026</v>
      </c>
      <c r="H17">
        <v>1</v>
      </c>
      <c r="I17">
        <v>2</v>
      </c>
    </row>
    <row r="18" spans="1:9" hidden="1" x14ac:dyDescent="0.2">
      <c r="A18" t="s">
        <v>14</v>
      </c>
      <c r="B18" t="s">
        <v>7</v>
      </c>
      <c r="C18" t="s">
        <v>15</v>
      </c>
      <c r="D18" t="s">
        <v>16</v>
      </c>
      <c r="E18" s="1">
        <v>46081</v>
      </c>
      <c r="F18" s="5">
        <v>1224</v>
      </c>
      <c r="G18">
        <v>2026</v>
      </c>
      <c r="H18">
        <v>1</v>
      </c>
      <c r="I18">
        <v>2</v>
      </c>
    </row>
    <row r="19" spans="1:9" x14ac:dyDescent="0.2">
      <c r="A19" t="s">
        <v>10</v>
      </c>
      <c r="B19" t="s">
        <v>11</v>
      </c>
      <c r="C19" t="s">
        <v>12</v>
      </c>
      <c r="D19" t="s">
        <v>13</v>
      </c>
      <c r="E19" s="1">
        <v>46081</v>
      </c>
      <c r="F19" s="5">
        <v>7084</v>
      </c>
      <c r="G19">
        <v>2026</v>
      </c>
      <c r="H19">
        <v>1</v>
      </c>
      <c r="I19">
        <v>2</v>
      </c>
    </row>
    <row r="20" spans="1:9" hidden="1" x14ac:dyDescent="0.2">
      <c r="A20" t="s">
        <v>6</v>
      </c>
      <c r="B20" t="s">
        <v>7</v>
      </c>
      <c r="C20" t="s">
        <v>8</v>
      </c>
      <c r="D20" t="s">
        <v>9</v>
      </c>
      <c r="E20" s="1">
        <v>46053</v>
      </c>
      <c r="F20" s="5">
        <v>151902</v>
      </c>
      <c r="G20">
        <v>2026</v>
      </c>
      <c r="H20">
        <v>1</v>
      </c>
      <c r="I20">
        <v>1</v>
      </c>
    </row>
    <row r="21" spans="1:9" x14ac:dyDescent="0.2">
      <c r="A21" t="s">
        <v>10</v>
      </c>
      <c r="B21" t="s">
        <v>11</v>
      </c>
      <c r="C21" t="s">
        <v>12</v>
      </c>
      <c r="D21" t="s">
        <v>13</v>
      </c>
      <c r="E21" s="1">
        <v>46053</v>
      </c>
      <c r="F21" s="5">
        <v>5252</v>
      </c>
      <c r="G21">
        <v>2026</v>
      </c>
      <c r="H21">
        <v>1</v>
      </c>
      <c r="I21">
        <v>1</v>
      </c>
    </row>
    <row r="22" spans="1:9" hidden="1" x14ac:dyDescent="0.2">
      <c r="A22" t="s">
        <v>14</v>
      </c>
      <c r="B22" t="s">
        <v>7</v>
      </c>
      <c r="C22" t="s">
        <v>15</v>
      </c>
      <c r="D22" t="s">
        <v>16</v>
      </c>
      <c r="E22" s="1">
        <v>46053</v>
      </c>
      <c r="F22" s="5">
        <v>1505</v>
      </c>
      <c r="G22">
        <v>2026</v>
      </c>
      <c r="H22">
        <v>1</v>
      </c>
      <c r="I22">
        <v>1</v>
      </c>
    </row>
    <row r="23" spans="1:9" hidden="1" x14ac:dyDescent="0.2">
      <c r="A23" t="s">
        <v>14</v>
      </c>
      <c r="B23" t="s">
        <v>7</v>
      </c>
      <c r="C23" t="s">
        <v>15</v>
      </c>
      <c r="D23" t="s">
        <v>16</v>
      </c>
      <c r="E23" s="1">
        <v>46022</v>
      </c>
      <c r="F23" s="5">
        <v>1593</v>
      </c>
      <c r="G23">
        <v>2025</v>
      </c>
      <c r="H23">
        <v>4</v>
      </c>
      <c r="I23">
        <v>12</v>
      </c>
    </row>
    <row r="24" spans="1:9" x14ac:dyDescent="0.2">
      <c r="A24" t="s">
        <v>10</v>
      </c>
      <c r="B24" t="s">
        <v>11</v>
      </c>
      <c r="C24" t="s">
        <v>12</v>
      </c>
      <c r="D24" t="s">
        <v>13</v>
      </c>
      <c r="E24" s="1">
        <v>46022</v>
      </c>
      <c r="F24" s="5">
        <v>3919</v>
      </c>
      <c r="G24">
        <v>2025</v>
      </c>
      <c r="H24">
        <v>4</v>
      </c>
      <c r="I24">
        <v>12</v>
      </c>
    </row>
    <row r="25" spans="1:9" hidden="1" x14ac:dyDescent="0.2">
      <c r="A25" t="s">
        <v>6</v>
      </c>
      <c r="B25" t="s">
        <v>7</v>
      </c>
      <c r="C25" t="s">
        <v>8</v>
      </c>
      <c r="D25" t="s">
        <v>9</v>
      </c>
      <c r="E25" s="1">
        <v>46022</v>
      </c>
      <c r="F25" s="5">
        <v>148897</v>
      </c>
      <c r="G25">
        <v>2025</v>
      </c>
      <c r="H25">
        <v>4</v>
      </c>
      <c r="I25">
        <v>12</v>
      </c>
    </row>
    <row r="26" spans="1:9" hidden="1" x14ac:dyDescent="0.2">
      <c r="A26" t="s">
        <v>14</v>
      </c>
      <c r="B26" t="s">
        <v>7</v>
      </c>
      <c r="C26" t="s">
        <v>15</v>
      </c>
      <c r="D26" t="s">
        <v>16</v>
      </c>
      <c r="E26" s="1">
        <v>45991</v>
      </c>
      <c r="F26" s="5">
        <v>1934</v>
      </c>
      <c r="G26">
        <v>2025</v>
      </c>
      <c r="H26">
        <v>4</v>
      </c>
      <c r="I26">
        <v>11</v>
      </c>
    </row>
    <row r="27" spans="1:9" x14ac:dyDescent="0.2">
      <c r="A27" t="s">
        <v>10</v>
      </c>
      <c r="B27" t="s">
        <v>11</v>
      </c>
      <c r="C27" t="s">
        <v>12</v>
      </c>
      <c r="D27" t="s">
        <v>13</v>
      </c>
      <c r="E27" s="1">
        <v>45991</v>
      </c>
      <c r="F27" s="5">
        <v>5748</v>
      </c>
      <c r="G27">
        <v>2025</v>
      </c>
      <c r="H27">
        <v>4</v>
      </c>
      <c r="I27">
        <v>11</v>
      </c>
    </row>
    <row r="28" spans="1:9" hidden="1" x14ac:dyDescent="0.2">
      <c r="A28" t="s">
        <v>6</v>
      </c>
      <c r="B28" t="s">
        <v>7</v>
      </c>
      <c r="C28" t="s">
        <v>8</v>
      </c>
      <c r="D28" t="s">
        <v>9</v>
      </c>
      <c r="E28" s="1">
        <v>45991</v>
      </c>
      <c r="F28" s="5">
        <v>164814</v>
      </c>
      <c r="G28">
        <v>2025</v>
      </c>
      <c r="H28">
        <v>4</v>
      </c>
      <c r="I28">
        <v>11</v>
      </c>
    </row>
    <row r="29" spans="1:9" x14ac:dyDescent="0.2">
      <c r="A29" t="s">
        <v>10</v>
      </c>
      <c r="B29" t="s">
        <v>11</v>
      </c>
      <c r="C29" t="s">
        <v>12</v>
      </c>
      <c r="D29" t="s">
        <v>13</v>
      </c>
      <c r="E29" s="1">
        <v>45961</v>
      </c>
      <c r="F29" s="5">
        <v>8073</v>
      </c>
      <c r="G29">
        <v>2025</v>
      </c>
      <c r="H29">
        <v>4</v>
      </c>
      <c r="I29">
        <v>10</v>
      </c>
    </row>
    <row r="30" spans="1:9" hidden="1" x14ac:dyDescent="0.2">
      <c r="A30" t="s">
        <v>6</v>
      </c>
      <c r="B30" t="s">
        <v>7</v>
      </c>
      <c r="C30" t="s">
        <v>8</v>
      </c>
      <c r="D30" t="s">
        <v>9</v>
      </c>
      <c r="E30" s="1">
        <v>45961</v>
      </c>
      <c r="F30" s="5">
        <v>153372</v>
      </c>
      <c r="G30">
        <v>2025</v>
      </c>
      <c r="H30">
        <v>4</v>
      </c>
      <c r="I30">
        <v>10</v>
      </c>
    </row>
    <row r="31" spans="1:9" hidden="1" x14ac:dyDescent="0.2">
      <c r="A31" t="s">
        <v>14</v>
      </c>
      <c r="B31" t="s">
        <v>7</v>
      </c>
      <c r="C31" t="s">
        <v>15</v>
      </c>
      <c r="D31" t="s">
        <v>16</v>
      </c>
      <c r="E31" s="1">
        <v>45961</v>
      </c>
      <c r="F31" s="5">
        <v>2038</v>
      </c>
      <c r="G31">
        <v>2025</v>
      </c>
      <c r="H31">
        <v>4</v>
      </c>
      <c r="I31">
        <v>10</v>
      </c>
    </row>
    <row r="32" spans="1:9" x14ac:dyDescent="0.2">
      <c r="A32" t="s">
        <v>10</v>
      </c>
      <c r="B32" t="s">
        <v>11</v>
      </c>
      <c r="C32" t="s">
        <v>12</v>
      </c>
      <c r="D32" t="s">
        <v>13</v>
      </c>
      <c r="E32" s="1">
        <v>45930</v>
      </c>
      <c r="F32" s="5">
        <v>10765</v>
      </c>
      <c r="G32">
        <v>2025</v>
      </c>
      <c r="H32">
        <v>3</v>
      </c>
      <c r="I32">
        <v>9</v>
      </c>
    </row>
    <row r="33" spans="1:9" hidden="1" x14ac:dyDescent="0.2">
      <c r="A33" t="s">
        <v>14</v>
      </c>
      <c r="B33" t="s">
        <v>7</v>
      </c>
      <c r="C33" t="s">
        <v>15</v>
      </c>
      <c r="D33" t="s">
        <v>16</v>
      </c>
      <c r="E33" s="1">
        <v>45930</v>
      </c>
      <c r="F33" s="5">
        <v>1994</v>
      </c>
      <c r="G33">
        <v>2025</v>
      </c>
      <c r="H33">
        <v>3</v>
      </c>
      <c r="I33">
        <v>9</v>
      </c>
    </row>
    <row r="34" spans="1:9" hidden="1" x14ac:dyDescent="0.2">
      <c r="A34" t="s">
        <v>6</v>
      </c>
      <c r="B34" t="s">
        <v>7</v>
      </c>
      <c r="C34" t="s">
        <v>8</v>
      </c>
      <c r="D34" t="s">
        <v>9</v>
      </c>
      <c r="E34" s="1">
        <v>45930</v>
      </c>
      <c r="F34" s="5">
        <v>101592</v>
      </c>
      <c r="G34">
        <v>2025</v>
      </c>
      <c r="H34">
        <v>3</v>
      </c>
      <c r="I34">
        <v>9</v>
      </c>
    </row>
    <row r="35" spans="1:9" x14ac:dyDescent="0.2">
      <c r="A35" t="s">
        <v>10</v>
      </c>
      <c r="B35" t="s">
        <v>11</v>
      </c>
      <c r="C35" t="s">
        <v>12</v>
      </c>
      <c r="D35" t="s">
        <v>13</v>
      </c>
      <c r="E35" s="1">
        <v>45900</v>
      </c>
      <c r="F35" s="5">
        <v>3866</v>
      </c>
      <c r="G35">
        <v>2025</v>
      </c>
      <c r="H35">
        <v>3</v>
      </c>
      <c r="I35">
        <v>8</v>
      </c>
    </row>
    <row r="36" spans="1:9" hidden="1" x14ac:dyDescent="0.2">
      <c r="A36" t="s">
        <v>6</v>
      </c>
      <c r="B36" t="s">
        <v>7</v>
      </c>
      <c r="C36" t="s">
        <v>8</v>
      </c>
      <c r="D36" t="s">
        <v>9</v>
      </c>
      <c r="E36" s="1">
        <v>45900</v>
      </c>
      <c r="F36" s="5">
        <v>53610</v>
      </c>
      <c r="G36">
        <v>2025</v>
      </c>
      <c r="H36">
        <v>3</v>
      </c>
      <c r="I36">
        <v>8</v>
      </c>
    </row>
    <row r="37" spans="1:9" hidden="1" x14ac:dyDescent="0.2">
      <c r="A37" t="s">
        <v>14</v>
      </c>
      <c r="B37" t="s">
        <v>7</v>
      </c>
      <c r="C37" t="s">
        <v>15</v>
      </c>
      <c r="D37" t="s">
        <v>16</v>
      </c>
      <c r="E37" s="1">
        <v>45900</v>
      </c>
      <c r="F37" s="5">
        <v>541</v>
      </c>
      <c r="G37">
        <v>2025</v>
      </c>
      <c r="H37">
        <v>3</v>
      </c>
      <c r="I37">
        <v>8</v>
      </c>
    </row>
    <row r="38" spans="1:9" hidden="1" x14ac:dyDescent="0.2">
      <c r="A38" t="s">
        <v>14</v>
      </c>
      <c r="B38" t="s">
        <v>7</v>
      </c>
      <c r="C38" t="s">
        <v>15</v>
      </c>
      <c r="D38" t="s">
        <v>16</v>
      </c>
      <c r="E38" s="1">
        <v>45869</v>
      </c>
      <c r="F38" s="5">
        <v>580</v>
      </c>
      <c r="G38">
        <v>2025</v>
      </c>
      <c r="H38">
        <v>3</v>
      </c>
      <c r="I38">
        <v>7</v>
      </c>
    </row>
    <row r="39" spans="1:9" hidden="1" x14ac:dyDescent="0.2">
      <c r="A39" t="s">
        <v>6</v>
      </c>
      <c r="B39" t="s">
        <v>7</v>
      </c>
      <c r="C39" t="s">
        <v>8</v>
      </c>
      <c r="D39" t="s">
        <v>9</v>
      </c>
      <c r="E39" s="1">
        <v>45869</v>
      </c>
      <c r="F39" s="5">
        <v>30661</v>
      </c>
      <c r="G39">
        <v>2025</v>
      </c>
      <c r="H39">
        <v>3</v>
      </c>
      <c r="I39">
        <v>7</v>
      </c>
    </row>
    <row r="40" spans="1:9" x14ac:dyDescent="0.2">
      <c r="A40" t="s">
        <v>10</v>
      </c>
      <c r="B40" t="s">
        <v>11</v>
      </c>
      <c r="C40" t="s">
        <v>12</v>
      </c>
      <c r="D40" t="s">
        <v>13</v>
      </c>
      <c r="E40" s="1">
        <v>45869</v>
      </c>
      <c r="F40" s="5">
        <v>4367</v>
      </c>
      <c r="G40">
        <v>2025</v>
      </c>
      <c r="H40">
        <v>3</v>
      </c>
      <c r="I40">
        <v>7</v>
      </c>
    </row>
    <row r="41" spans="1:9" hidden="1" x14ac:dyDescent="0.2">
      <c r="A41" t="s">
        <v>14</v>
      </c>
      <c r="B41" t="s">
        <v>7</v>
      </c>
      <c r="C41" t="s">
        <v>15</v>
      </c>
      <c r="D41" t="s">
        <v>16</v>
      </c>
      <c r="E41" s="1">
        <v>45838</v>
      </c>
      <c r="F41" s="5">
        <v>1154</v>
      </c>
      <c r="G41">
        <v>2025</v>
      </c>
      <c r="H41">
        <v>2</v>
      </c>
      <c r="I41">
        <v>6</v>
      </c>
    </row>
    <row r="42" spans="1:9" hidden="1" x14ac:dyDescent="0.2">
      <c r="A42" t="s">
        <v>6</v>
      </c>
      <c r="B42" t="s">
        <v>7</v>
      </c>
      <c r="C42" t="s">
        <v>8</v>
      </c>
      <c r="D42" t="s">
        <v>9</v>
      </c>
      <c r="E42" s="1">
        <v>45838</v>
      </c>
      <c r="F42" s="5">
        <v>148336</v>
      </c>
      <c r="G42">
        <v>2025</v>
      </c>
      <c r="H42">
        <v>2</v>
      </c>
      <c r="I42">
        <v>6</v>
      </c>
    </row>
    <row r="43" spans="1:9" x14ac:dyDescent="0.2">
      <c r="A43" t="s">
        <v>10</v>
      </c>
      <c r="B43" t="s">
        <v>11</v>
      </c>
      <c r="C43" t="s">
        <v>12</v>
      </c>
      <c r="D43" t="s">
        <v>13</v>
      </c>
      <c r="E43" s="1">
        <v>45838</v>
      </c>
      <c r="F43" s="5">
        <v>3943</v>
      </c>
      <c r="G43">
        <v>2025</v>
      </c>
      <c r="H43">
        <v>2</v>
      </c>
      <c r="I43">
        <v>6</v>
      </c>
    </row>
    <row r="44" spans="1:9" x14ac:dyDescent="0.2">
      <c r="A44" t="s">
        <v>10</v>
      </c>
      <c r="B44" t="s">
        <v>11</v>
      </c>
      <c r="C44" t="s">
        <v>12</v>
      </c>
      <c r="D44" t="s">
        <v>13</v>
      </c>
      <c r="E44" s="1">
        <v>45808</v>
      </c>
      <c r="F44" s="5">
        <v>5662</v>
      </c>
      <c r="G44">
        <v>2025</v>
      </c>
      <c r="H44">
        <v>2</v>
      </c>
      <c r="I44">
        <v>5</v>
      </c>
    </row>
    <row r="45" spans="1:9" hidden="1" x14ac:dyDescent="0.2">
      <c r="A45" t="s">
        <v>14</v>
      </c>
      <c r="B45" t="s">
        <v>7</v>
      </c>
      <c r="C45" t="s">
        <v>15</v>
      </c>
      <c r="D45" t="s">
        <v>16</v>
      </c>
      <c r="E45" s="1">
        <v>45808</v>
      </c>
      <c r="F45" s="5">
        <v>1409</v>
      </c>
      <c r="G45">
        <v>2025</v>
      </c>
      <c r="H45">
        <v>2</v>
      </c>
      <c r="I45">
        <v>5</v>
      </c>
    </row>
    <row r="46" spans="1:9" hidden="1" x14ac:dyDescent="0.2">
      <c r="A46" t="s">
        <v>6</v>
      </c>
      <c r="B46" t="s">
        <v>7</v>
      </c>
      <c r="C46" t="s">
        <v>8</v>
      </c>
      <c r="D46" t="s">
        <v>9</v>
      </c>
      <c r="E46" s="1">
        <v>45808</v>
      </c>
      <c r="F46" s="5">
        <v>173573</v>
      </c>
      <c r="G46">
        <v>2025</v>
      </c>
      <c r="H46">
        <v>2</v>
      </c>
      <c r="I46">
        <v>5</v>
      </c>
    </row>
    <row r="47" spans="1:9" x14ac:dyDescent="0.2">
      <c r="A47" t="s">
        <v>10</v>
      </c>
      <c r="B47" t="s">
        <v>11</v>
      </c>
      <c r="C47" t="s">
        <v>12</v>
      </c>
      <c r="D47" t="s">
        <v>13</v>
      </c>
      <c r="E47" s="1">
        <v>45777</v>
      </c>
      <c r="F47" s="5">
        <v>6173</v>
      </c>
      <c r="G47">
        <v>2025</v>
      </c>
      <c r="H47">
        <v>2</v>
      </c>
      <c r="I47">
        <v>4</v>
      </c>
    </row>
    <row r="48" spans="1:9" hidden="1" x14ac:dyDescent="0.2">
      <c r="A48" t="s">
        <v>6</v>
      </c>
      <c r="B48" t="s">
        <v>7</v>
      </c>
      <c r="C48" t="s">
        <v>8</v>
      </c>
      <c r="D48" t="s">
        <v>9</v>
      </c>
      <c r="E48" s="1">
        <v>45777</v>
      </c>
      <c r="F48" s="5">
        <v>107901</v>
      </c>
      <c r="G48">
        <v>2025</v>
      </c>
      <c r="H48">
        <v>2</v>
      </c>
      <c r="I48">
        <v>4</v>
      </c>
    </row>
    <row r="49" spans="1:9" hidden="1" x14ac:dyDescent="0.2">
      <c r="A49" t="s">
        <v>14</v>
      </c>
      <c r="B49" t="s">
        <v>7</v>
      </c>
      <c r="C49" t="s">
        <v>15</v>
      </c>
      <c r="D49" t="s">
        <v>16</v>
      </c>
      <c r="E49" s="1">
        <v>45777</v>
      </c>
      <c r="F49" s="5">
        <v>1287</v>
      </c>
      <c r="G49">
        <v>2025</v>
      </c>
      <c r="H49">
        <v>2</v>
      </c>
      <c r="I49">
        <v>4</v>
      </c>
    </row>
    <row r="50" spans="1:9" x14ac:dyDescent="0.2">
      <c r="A50" t="s">
        <v>10</v>
      </c>
      <c r="B50" t="s">
        <v>11</v>
      </c>
      <c r="C50" t="s">
        <v>12</v>
      </c>
      <c r="D50" t="s">
        <v>13</v>
      </c>
      <c r="E50" s="1">
        <v>45747</v>
      </c>
      <c r="F50" s="5">
        <v>8414</v>
      </c>
      <c r="G50">
        <v>2025</v>
      </c>
      <c r="H50">
        <v>1</v>
      </c>
      <c r="I50">
        <v>3</v>
      </c>
    </row>
    <row r="51" spans="1:9" hidden="1" x14ac:dyDescent="0.2">
      <c r="A51" t="s">
        <v>6</v>
      </c>
      <c r="B51" t="s">
        <v>7</v>
      </c>
      <c r="C51" t="s">
        <v>8</v>
      </c>
      <c r="D51" t="s">
        <v>9</v>
      </c>
      <c r="E51" s="1">
        <v>45747</v>
      </c>
      <c r="F51" s="5">
        <v>134426</v>
      </c>
      <c r="G51">
        <v>2025</v>
      </c>
      <c r="H51">
        <v>1</v>
      </c>
      <c r="I51">
        <v>3</v>
      </c>
    </row>
    <row r="52" spans="1:9" hidden="1" x14ac:dyDescent="0.2">
      <c r="A52" t="s">
        <v>14</v>
      </c>
      <c r="B52" t="s">
        <v>7</v>
      </c>
      <c r="C52" t="s">
        <v>15</v>
      </c>
      <c r="D52" t="s">
        <v>16</v>
      </c>
      <c r="E52" s="1">
        <v>45747</v>
      </c>
      <c r="F52" s="5">
        <v>1417</v>
      </c>
      <c r="G52">
        <v>2025</v>
      </c>
      <c r="H52">
        <v>1</v>
      </c>
      <c r="I52">
        <v>3</v>
      </c>
    </row>
    <row r="53" spans="1:9" hidden="1" x14ac:dyDescent="0.2">
      <c r="A53" t="s">
        <v>14</v>
      </c>
      <c r="B53" t="s">
        <v>7</v>
      </c>
      <c r="C53" t="s">
        <v>15</v>
      </c>
      <c r="D53" t="s">
        <v>16</v>
      </c>
      <c r="E53" s="1">
        <v>45716</v>
      </c>
      <c r="F53" s="5">
        <v>1082</v>
      </c>
      <c r="G53">
        <v>2025</v>
      </c>
      <c r="H53">
        <v>1</v>
      </c>
      <c r="I53">
        <v>2</v>
      </c>
    </row>
    <row r="54" spans="1:9" x14ac:dyDescent="0.2">
      <c r="A54" t="s">
        <v>10</v>
      </c>
      <c r="B54" t="s">
        <v>11</v>
      </c>
      <c r="C54" t="s">
        <v>12</v>
      </c>
      <c r="D54" t="s">
        <v>13</v>
      </c>
      <c r="E54" s="1">
        <v>45716</v>
      </c>
      <c r="F54" s="5">
        <v>8369</v>
      </c>
      <c r="G54">
        <v>2025</v>
      </c>
      <c r="H54">
        <v>1</v>
      </c>
      <c r="I54">
        <v>2</v>
      </c>
    </row>
    <row r="55" spans="1:9" hidden="1" x14ac:dyDescent="0.2">
      <c r="A55" t="s">
        <v>6</v>
      </c>
      <c r="B55" t="s">
        <v>7</v>
      </c>
      <c r="C55" t="s">
        <v>8</v>
      </c>
      <c r="D55" t="s">
        <v>9</v>
      </c>
      <c r="E55" s="1">
        <v>45716</v>
      </c>
      <c r="F55" s="5">
        <v>57373</v>
      </c>
      <c r="G55">
        <v>2025</v>
      </c>
      <c r="H55">
        <v>1</v>
      </c>
      <c r="I55">
        <v>2</v>
      </c>
    </row>
    <row r="56" spans="1:9" hidden="1" x14ac:dyDescent="0.2">
      <c r="A56" t="s">
        <v>14</v>
      </c>
      <c r="B56" t="s">
        <v>7</v>
      </c>
      <c r="C56" t="s">
        <v>15</v>
      </c>
      <c r="D56" t="s">
        <v>16</v>
      </c>
      <c r="E56" s="1">
        <v>45688</v>
      </c>
      <c r="F56" s="5">
        <v>1121</v>
      </c>
      <c r="G56">
        <v>2025</v>
      </c>
      <c r="H56">
        <v>1</v>
      </c>
      <c r="I56">
        <v>1</v>
      </c>
    </row>
    <row r="57" spans="1:9" x14ac:dyDescent="0.2">
      <c r="A57" t="s">
        <v>10</v>
      </c>
      <c r="B57" t="s">
        <v>11</v>
      </c>
      <c r="C57" t="s">
        <v>12</v>
      </c>
      <c r="D57" t="s">
        <v>13</v>
      </c>
      <c r="E57" s="1">
        <v>45688</v>
      </c>
      <c r="F57" s="5">
        <v>4946</v>
      </c>
      <c r="G57">
        <v>2025</v>
      </c>
      <c r="H57">
        <v>1</v>
      </c>
      <c r="I57">
        <v>1</v>
      </c>
    </row>
    <row r="58" spans="1:9" hidden="1" x14ac:dyDescent="0.2">
      <c r="A58" t="s">
        <v>6</v>
      </c>
      <c r="B58" t="s">
        <v>7</v>
      </c>
      <c r="C58" t="s">
        <v>8</v>
      </c>
      <c r="D58" t="s">
        <v>9</v>
      </c>
      <c r="E58" s="1">
        <v>45688</v>
      </c>
      <c r="F58" s="5">
        <v>148031</v>
      </c>
      <c r="G58">
        <v>2025</v>
      </c>
      <c r="H58">
        <v>1</v>
      </c>
      <c r="I58">
        <v>1</v>
      </c>
    </row>
    <row r="59" spans="1:9" x14ac:dyDescent="0.2">
      <c r="A59" t="s">
        <v>10</v>
      </c>
      <c r="B59" t="s">
        <v>11</v>
      </c>
      <c r="C59" t="s">
        <v>12</v>
      </c>
      <c r="D59" t="s">
        <v>17</v>
      </c>
      <c r="E59" s="1">
        <v>45657</v>
      </c>
      <c r="F59" s="5">
        <v>5172</v>
      </c>
      <c r="G59">
        <v>2024</v>
      </c>
      <c r="H59">
        <v>4</v>
      </c>
      <c r="I59">
        <v>12</v>
      </c>
    </row>
    <row r="60" spans="1:9" hidden="1" x14ac:dyDescent="0.2">
      <c r="A60" t="s">
        <v>6</v>
      </c>
      <c r="B60" t="s">
        <v>7</v>
      </c>
      <c r="C60" t="s">
        <v>8</v>
      </c>
      <c r="D60" t="s">
        <v>9</v>
      </c>
      <c r="E60" s="1">
        <v>45657</v>
      </c>
      <c r="F60" s="5">
        <v>146319</v>
      </c>
      <c r="G60">
        <v>2024</v>
      </c>
      <c r="H60">
        <v>4</v>
      </c>
      <c r="I60">
        <v>12</v>
      </c>
    </row>
    <row r="61" spans="1:9" hidden="1" x14ac:dyDescent="0.2">
      <c r="A61" t="s">
        <v>14</v>
      </c>
      <c r="B61" t="s">
        <v>7</v>
      </c>
      <c r="C61" t="s">
        <v>15</v>
      </c>
      <c r="D61" t="s">
        <v>16</v>
      </c>
      <c r="E61" s="1">
        <v>45657</v>
      </c>
      <c r="F61" s="5">
        <v>1141</v>
      </c>
      <c r="G61">
        <v>2024</v>
      </c>
      <c r="H61">
        <v>4</v>
      </c>
      <c r="I61">
        <v>12</v>
      </c>
    </row>
    <row r="62" spans="1:9" x14ac:dyDescent="0.2">
      <c r="A62" t="s">
        <v>10</v>
      </c>
      <c r="B62" t="s">
        <v>11</v>
      </c>
      <c r="C62" t="s">
        <v>12</v>
      </c>
      <c r="D62" t="s">
        <v>17</v>
      </c>
      <c r="E62" s="1">
        <v>45626</v>
      </c>
      <c r="F62" s="5">
        <v>7972</v>
      </c>
      <c r="G62">
        <v>2024</v>
      </c>
      <c r="H62">
        <v>4</v>
      </c>
      <c r="I62">
        <v>11</v>
      </c>
    </row>
    <row r="63" spans="1:9" hidden="1" x14ac:dyDescent="0.2">
      <c r="A63" t="s">
        <v>14</v>
      </c>
      <c r="B63" t="s">
        <v>7</v>
      </c>
      <c r="C63" t="s">
        <v>15</v>
      </c>
      <c r="D63" t="s">
        <v>16</v>
      </c>
      <c r="E63" s="1">
        <v>45626</v>
      </c>
      <c r="F63" s="5">
        <v>1622</v>
      </c>
      <c r="G63">
        <v>2024</v>
      </c>
      <c r="H63">
        <v>4</v>
      </c>
      <c r="I63">
        <v>11</v>
      </c>
    </row>
    <row r="64" spans="1:9" hidden="1" x14ac:dyDescent="0.2">
      <c r="A64" t="s">
        <v>6</v>
      </c>
      <c r="B64" t="s">
        <v>7</v>
      </c>
      <c r="C64" t="s">
        <v>8</v>
      </c>
      <c r="D64" t="s">
        <v>9</v>
      </c>
      <c r="E64" s="1">
        <v>45626</v>
      </c>
      <c r="F64" s="5">
        <v>162715</v>
      </c>
      <c r="G64">
        <v>2024</v>
      </c>
      <c r="H64">
        <v>4</v>
      </c>
      <c r="I64">
        <v>11</v>
      </c>
    </row>
    <row r="65" spans="1:9" x14ac:dyDescent="0.2">
      <c r="A65" t="s">
        <v>10</v>
      </c>
      <c r="B65" t="s">
        <v>11</v>
      </c>
      <c r="C65" t="s">
        <v>12</v>
      </c>
      <c r="D65" t="s">
        <v>17</v>
      </c>
      <c r="E65" s="1">
        <v>45596</v>
      </c>
      <c r="F65" s="5">
        <v>9763</v>
      </c>
      <c r="G65">
        <v>2024</v>
      </c>
      <c r="H65">
        <v>4</v>
      </c>
      <c r="I65">
        <v>10</v>
      </c>
    </row>
    <row r="66" spans="1:9" hidden="1" x14ac:dyDescent="0.2">
      <c r="A66" t="s">
        <v>6</v>
      </c>
      <c r="B66" t="s">
        <v>7</v>
      </c>
      <c r="C66" t="s">
        <v>8</v>
      </c>
      <c r="D66" t="s">
        <v>9</v>
      </c>
      <c r="E66" s="1">
        <v>45596</v>
      </c>
      <c r="F66" s="5">
        <v>152519</v>
      </c>
      <c r="G66">
        <v>2024</v>
      </c>
      <c r="H66">
        <v>4</v>
      </c>
      <c r="I66">
        <v>10</v>
      </c>
    </row>
    <row r="67" spans="1:9" hidden="1" x14ac:dyDescent="0.2">
      <c r="A67" t="s">
        <v>14</v>
      </c>
      <c r="B67" t="s">
        <v>7</v>
      </c>
      <c r="C67" t="s">
        <v>15</v>
      </c>
      <c r="D67" t="s">
        <v>16</v>
      </c>
      <c r="E67" s="1">
        <v>45596</v>
      </c>
      <c r="F67" s="5">
        <v>1723</v>
      </c>
      <c r="G67">
        <v>2024</v>
      </c>
      <c r="H67">
        <v>4</v>
      </c>
      <c r="I67">
        <v>10</v>
      </c>
    </row>
    <row r="68" spans="1:9" x14ac:dyDescent="0.2">
      <c r="A68" t="s">
        <v>10</v>
      </c>
      <c r="B68" t="s">
        <v>11</v>
      </c>
      <c r="C68" t="s">
        <v>12</v>
      </c>
      <c r="D68" t="s">
        <v>17</v>
      </c>
      <c r="E68" s="1">
        <v>45565</v>
      </c>
      <c r="F68" s="5">
        <v>11078</v>
      </c>
      <c r="G68">
        <v>2024</v>
      </c>
      <c r="H68">
        <v>3</v>
      </c>
      <c r="I68">
        <v>9</v>
      </c>
    </row>
    <row r="69" spans="1:9" hidden="1" x14ac:dyDescent="0.2">
      <c r="A69" t="s">
        <v>6</v>
      </c>
      <c r="B69" t="s">
        <v>7</v>
      </c>
      <c r="C69" t="s">
        <v>8</v>
      </c>
      <c r="D69" t="s">
        <v>9</v>
      </c>
      <c r="E69" s="1">
        <v>45565</v>
      </c>
      <c r="F69" s="5">
        <v>102435</v>
      </c>
      <c r="G69">
        <v>2024</v>
      </c>
      <c r="H69">
        <v>3</v>
      </c>
      <c r="I69">
        <v>9</v>
      </c>
    </row>
    <row r="70" spans="1:9" hidden="1" x14ac:dyDescent="0.2">
      <c r="A70" t="s">
        <v>14</v>
      </c>
      <c r="B70" t="s">
        <v>7</v>
      </c>
      <c r="C70" t="s">
        <v>15</v>
      </c>
      <c r="D70" t="s">
        <v>16</v>
      </c>
      <c r="E70" s="1">
        <v>45565</v>
      </c>
      <c r="F70" s="5">
        <v>1479</v>
      </c>
      <c r="G70">
        <v>2024</v>
      </c>
      <c r="H70">
        <v>3</v>
      </c>
      <c r="I70">
        <v>9</v>
      </c>
    </row>
    <row r="71" spans="1:9" x14ac:dyDescent="0.2">
      <c r="A71" t="s">
        <v>10</v>
      </c>
      <c r="B71" t="s">
        <v>11</v>
      </c>
      <c r="C71" t="s">
        <v>12</v>
      </c>
      <c r="D71" t="s">
        <v>17</v>
      </c>
      <c r="E71" s="1">
        <v>45535</v>
      </c>
      <c r="F71" s="5">
        <v>4021</v>
      </c>
      <c r="G71">
        <v>2024</v>
      </c>
      <c r="H71">
        <v>3</v>
      </c>
      <c r="I71">
        <v>8</v>
      </c>
    </row>
    <row r="72" spans="1:9" hidden="1" x14ac:dyDescent="0.2">
      <c r="A72" t="s">
        <v>14</v>
      </c>
      <c r="B72" t="s">
        <v>7</v>
      </c>
      <c r="C72" t="s">
        <v>15</v>
      </c>
      <c r="D72" t="s">
        <v>16</v>
      </c>
      <c r="E72" s="1">
        <v>45535</v>
      </c>
      <c r="F72" s="5">
        <v>562</v>
      </c>
      <c r="G72">
        <v>2024</v>
      </c>
      <c r="H72">
        <v>3</v>
      </c>
      <c r="I72">
        <v>8</v>
      </c>
    </row>
    <row r="73" spans="1:9" hidden="1" x14ac:dyDescent="0.2">
      <c r="A73" t="s">
        <v>6</v>
      </c>
      <c r="B73" t="s">
        <v>7</v>
      </c>
      <c r="C73" t="s">
        <v>8</v>
      </c>
      <c r="D73" t="s">
        <v>9</v>
      </c>
      <c r="E73" s="1">
        <v>45535</v>
      </c>
      <c r="F73" s="5">
        <v>42282</v>
      </c>
      <c r="G73">
        <v>2024</v>
      </c>
      <c r="H73">
        <v>3</v>
      </c>
      <c r="I73">
        <v>8</v>
      </c>
    </row>
    <row r="74" spans="1:9" hidden="1" x14ac:dyDescent="0.2">
      <c r="A74" t="s">
        <v>14</v>
      </c>
      <c r="B74" t="s">
        <v>7</v>
      </c>
      <c r="C74" t="s">
        <v>15</v>
      </c>
      <c r="D74" t="s">
        <v>16</v>
      </c>
      <c r="E74" s="1">
        <v>45504</v>
      </c>
      <c r="F74" s="5">
        <v>667</v>
      </c>
      <c r="G74">
        <v>2024</v>
      </c>
      <c r="H74">
        <v>3</v>
      </c>
      <c r="I74">
        <v>7</v>
      </c>
    </row>
    <row r="75" spans="1:9" x14ac:dyDescent="0.2">
      <c r="A75" t="s">
        <v>10</v>
      </c>
      <c r="B75" t="s">
        <v>11</v>
      </c>
      <c r="C75" t="s">
        <v>12</v>
      </c>
      <c r="D75" t="s">
        <v>17</v>
      </c>
      <c r="E75" s="1">
        <v>45504</v>
      </c>
      <c r="F75" s="5">
        <v>5050</v>
      </c>
      <c r="G75">
        <v>2024</v>
      </c>
      <c r="H75">
        <v>3</v>
      </c>
      <c r="I75">
        <v>7</v>
      </c>
    </row>
    <row r="76" spans="1:9" hidden="1" x14ac:dyDescent="0.2">
      <c r="A76" t="s">
        <v>6</v>
      </c>
      <c r="B76" t="s">
        <v>7</v>
      </c>
      <c r="C76" t="s">
        <v>8</v>
      </c>
      <c r="D76" t="s">
        <v>9</v>
      </c>
      <c r="E76" s="1">
        <v>45504</v>
      </c>
      <c r="F76" s="5">
        <v>34149</v>
      </c>
      <c r="G76">
        <v>2024</v>
      </c>
      <c r="H76">
        <v>3</v>
      </c>
      <c r="I76">
        <v>7</v>
      </c>
    </row>
    <row r="77" spans="1:9" x14ac:dyDescent="0.2">
      <c r="A77" t="s">
        <v>10</v>
      </c>
      <c r="B77" t="s">
        <v>11</v>
      </c>
      <c r="C77" t="s">
        <v>12</v>
      </c>
      <c r="D77" t="s">
        <v>17</v>
      </c>
      <c r="E77" s="1">
        <v>45473</v>
      </c>
      <c r="F77" s="5">
        <v>5842</v>
      </c>
      <c r="G77">
        <v>2024</v>
      </c>
      <c r="H77">
        <v>2</v>
      </c>
      <c r="I77">
        <v>6</v>
      </c>
    </row>
    <row r="78" spans="1:9" hidden="1" x14ac:dyDescent="0.2">
      <c r="A78" t="s">
        <v>14</v>
      </c>
      <c r="B78" t="s">
        <v>7</v>
      </c>
      <c r="C78" t="s">
        <v>15</v>
      </c>
      <c r="D78" t="s">
        <v>16</v>
      </c>
      <c r="E78" s="1">
        <v>45473</v>
      </c>
      <c r="F78" s="5">
        <v>1119</v>
      </c>
      <c r="G78">
        <v>2024</v>
      </c>
      <c r="H78">
        <v>2</v>
      </c>
      <c r="I78">
        <v>6</v>
      </c>
    </row>
    <row r="79" spans="1:9" hidden="1" x14ac:dyDescent="0.2">
      <c r="A79" t="s">
        <v>6</v>
      </c>
      <c r="B79" t="s">
        <v>7</v>
      </c>
      <c r="C79" t="s">
        <v>8</v>
      </c>
      <c r="D79" t="s">
        <v>9</v>
      </c>
      <c r="E79" s="1">
        <v>45473</v>
      </c>
      <c r="F79" s="5">
        <v>142138</v>
      </c>
      <c r="G79">
        <v>2024</v>
      </c>
      <c r="H79">
        <v>2</v>
      </c>
      <c r="I79">
        <v>6</v>
      </c>
    </row>
    <row r="80" spans="1:9" x14ac:dyDescent="0.2">
      <c r="A80" t="s">
        <v>10</v>
      </c>
      <c r="B80" t="s">
        <v>11</v>
      </c>
      <c r="C80" t="s">
        <v>12</v>
      </c>
      <c r="D80" t="s">
        <v>17</v>
      </c>
      <c r="E80" s="1">
        <v>45443</v>
      </c>
      <c r="F80" s="5">
        <v>7189</v>
      </c>
      <c r="G80">
        <v>2024</v>
      </c>
      <c r="H80">
        <v>2</v>
      </c>
      <c r="I80">
        <v>5</v>
      </c>
    </row>
    <row r="81" spans="1:9" hidden="1" x14ac:dyDescent="0.2">
      <c r="A81" t="s">
        <v>6</v>
      </c>
      <c r="B81" t="s">
        <v>7</v>
      </c>
      <c r="C81" t="s">
        <v>8</v>
      </c>
      <c r="D81" t="s">
        <v>9</v>
      </c>
      <c r="E81" s="1">
        <v>45443</v>
      </c>
      <c r="F81" s="5">
        <v>166846</v>
      </c>
      <c r="G81">
        <v>2024</v>
      </c>
      <c r="H81">
        <v>2</v>
      </c>
      <c r="I81">
        <v>5</v>
      </c>
    </row>
    <row r="82" spans="1:9" hidden="1" x14ac:dyDescent="0.2">
      <c r="A82" t="s">
        <v>14</v>
      </c>
      <c r="B82" t="s">
        <v>7</v>
      </c>
      <c r="C82" t="s">
        <v>15</v>
      </c>
      <c r="D82" t="s">
        <v>16</v>
      </c>
      <c r="E82" s="1">
        <v>45443</v>
      </c>
      <c r="F82" s="5">
        <v>1259</v>
      </c>
      <c r="G82">
        <v>2024</v>
      </c>
      <c r="H82">
        <v>2</v>
      </c>
      <c r="I82">
        <v>5</v>
      </c>
    </row>
    <row r="83" spans="1:9" hidden="1" x14ac:dyDescent="0.2">
      <c r="A83" t="s">
        <v>14</v>
      </c>
      <c r="B83" t="s">
        <v>7</v>
      </c>
      <c r="C83" t="s">
        <v>15</v>
      </c>
      <c r="D83" t="s">
        <v>16</v>
      </c>
      <c r="E83" s="1">
        <v>45412</v>
      </c>
      <c r="F83" s="5">
        <v>1386</v>
      </c>
      <c r="G83">
        <v>2024</v>
      </c>
      <c r="H83">
        <v>2</v>
      </c>
      <c r="I83">
        <v>4</v>
      </c>
    </row>
    <row r="84" spans="1:9" hidden="1" x14ac:dyDescent="0.2">
      <c r="A84" t="s">
        <v>6</v>
      </c>
      <c r="B84" t="s">
        <v>7</v>
      </c>
      <c r="C84" t="s">
        <v>8</v>
      </c>
      <c r="D84" t="s">
        <v>9</v>
      </c>
      <c r="E84" s="1">
        <v>45412</v>
      </c>
      <c r="F84" s="5">
        <v>141282</v>
      </c>
      <c r="G84">
        <v>2024</v>
      </c>
      <c r="H84">
        <v>2</v>
      </c>
      <c r="I84">
        <v>4</v>
      </c>
    </row>
    <row r="85" spans="1:9" x14ac:dyDescent="0.2">
      <c r="A85" t="s">
        <v>10</v>
      </c>
      <c r="B85" t="s">
        <v>11</v>
      </c>
      <c r="C85" t="s">
        <v>12</v>
      </c>
      <c r="D85" t="s">
        <v>17</v>
      </c>
      <c r="E85" s="1">
        <v>45412</v>
      </c>
      <c r="F85" s="5">
        <v>8486</v>
      </c>
      <c r="G85">
        <v>2024</v>
      </c>
      <c r="H85">
        <v>2</v>
      </c>
      <c r="I85">
        <v>4</v>
      </c>
    </row>
    <row r="86" spans="1:9" hidden="1" x14ac:dyDescent="0.2">
      <c r="A86" t="s">
        <v>14</v>
      </c>
      <c r="B86" t="s">
        <v>7</v>
      </c>
      <c r="C86" t="s">
        <v>15</v>
      </c>
      <c r="D86" t="s">
        <v>16</v>
      </c>
      <c r="E86" s="1">
        <v>45382</v>
      </c>
      <c r="F86" s="5">
        <v>1242</v>
      </c>
      <c r="G86">
        <v>2024</v>
      </c>
      <c r="H86">
        <v>1</v>
      </c>
      <c r="I86">
        <v>3</v>
      </c>
    </row>
    <row r="87" spans="1:9" hidden="1" x14ac:dyDescent="0.2">
      <c r="A87" t="s">
        <v>6</v>
      </c>
      <c r="B87" t="s">
        <v>7</v>
      </c>
      <c r="C87" t="s">
        <v>8</v>
      </c>
      <c r="D87" t="s">
        <v>9</v>
      </c>
      <c r="E87" s="1">
        <v>45382</v>
      </c>
      <c r="F87" s="5">
        <v>121504</v>
      </c>
      <c r="G87">
        <v>2024</v>
      </c>
      <c r="H87">
        <v>1</v>
      </c>
      <c r="I87">
        <v>3</v>
      </c>
    </row>
    <row r="88" spans="1:9" x14ac:dyDescent="0.2">
      <c r="A88" t="s">
        <v>10</v>
      </c>
      <c r="B88" t="s">
        <v>11</v>
      </c>
      <c r="C88" t="s">
        <v>12</v>
      </c>
      <c r="D88" t="s">
        <v>17</v>
      </c>
      <c r="E88" s="1">
        <v>45382</v>
      </c>
      <c r="F88" s="5">
        <v>9614</v>
      </c>
      <c r="G88">
        <v>2024</v>
      </c>
      <c r="H88">
        <v>1</v>
      </c>
      <c r="I88">
        <v>3</v>
      </c>
    </row>
    <row r="89" spans="1:9" x14ac:dyDescent="0.2">
      <c r="A89" t="s">
        <v>10</v>
      </c>
      <c r="B89" t="s">
        <v>11</v>
      </c>
      <c r="C89" t="s">
        <v>12</v>
      </c>
      <c r="D89" t="s">
        <v>17</v>
      </c>
      <c r="E89" s="1">
        <v>45351</v>
      </c>
      <c r="F89" s="5">
        <v>10092</v>
      </c>
      <c r="G89">
        <v>2024</v>
      </c>
      <c r="H89">
        <v>1</v>
      </c>
      <c r="I89">
        <v>2</v>
      </c>
    </row>
    <row r="90" spans="1:9" hidden="1" x14ac:dyDescent="0.2">
      <c r="A90" t="s">
        <v>6</v>
      </c>
      <c r="B90" t="s">
        <v>7</v>
      </c>
      <c r="C90" t="s">
        <v>8</v>
      </c>
      <c r="D90" t="s">
        <v>9</v>
      </c>
      <c r="E90" s="1">
        <v>45351</v>
      </c>
      <c r="F90" s="5">
        <v>54995</v>
      </c>
      <c r="G90">
        <v>2024</v>
      </c>
      <c r="H90">
        <v>1</v>
      </c>
      <c r="I90">
        <v>2</v>
      </c>
    </row>
    <row r="91" spans="1:9" hidden="1" x14ac:dyDescent="0.2">
      <c r="A91" t="s">
        <v>14</v>
      </c>
      <c r="B91" t="s">
        <v>7</v>
      </c>
      <c r="C91" t="s">
        <v>15</v>
      </c>
      <c r="D91" t="s">
        <v>16</v>
      </c>
      <c r="E91" s="1">
        <v>45351</v>
      </c>
      <c r="F91" s="5">
        <v>1140</v>
      </c>
      <c r="G91">
        <v>2024</v>
      </c>
      <c r="H91">
        <v>1</v>
      </c>
      <c r="I91">
        <v>2</v>
      </c>
    </row>
    <row r="92" spans="1:9" hidden="1" x14ac:dyDescent="0.2">
      <c r="A92" t="s">
        <v>14</v>
      </c>
      <c r="B92" t="s">
        <v>7</v>
      </c>
      <c r="C92" t="s">
        <v>15</v>
      </c>
      <c r="D92" t="s">
        <v>16</v>
      </c>
      <c r="E92" s="1">
        <v>45322</v>
      </c>
      <c r="F92" s="5">
        <v>1308</v>
      </c>
      <c r="G92">
        <v>2024</v>
      </c>
      <c r="H92">
        <v>1</v>
      </c>
      <c r="I92">
        <v>1</v>
      </c>
    </row>
    <row r="93" spans="1:9" hidden="1" x14ac:dyDescent="0.2">
      <c r="A93" t="s">
        <v>6</v>
      </c>
      <c r="B93" t="s">
        <v>7</v>
      </c>
      <c r="C93" t="s">
        <v>8</v>
      </c>
      <c r="D93" t="s">
        <v>9</v>
      </c>
      <c r="E93" s="1">
        <v>45322</v>
      </c>
      <c r="F93" s="5">
        <v>154483</v>
      </c>
      <c r="G93">
        <v>2024</v>
      </c>
      <c r="H93">
        <v>1</v>
      </c>
      <c r="I93">
        <v>1</v>
      </c>
    </row>
    <row r="94" spans="1:9" x14ac:dyDescent="0.2">
      <c r="A94" t="s">
        <v>10</v>
      </c>
      <c r="B94" t="s">
        <v>11</v>
      </c>
      <c r="C94" t="s">
        <v>12</v>
      </c>
      <c r="D94" t="s">
        <v>17</v>
      </c>
      <c r="E94" s="1">
        <v>45322</v>
      </c>
      <c r="F94" s="5">
        <v>7141</v>
      </c>
      <c r="G94">
        <v>2024</v>
      </c>
      <c r="H94">
        <v>1</v>
      </c>
      <c r="I94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D529-F809-47A8-B2CD-4E90191E0A3A}">
  <dimension ref="A1"/>
  <sheetViews>
    <sheetView workbookViewId="0">
      <selection activeCell="L53" sqref="L53"/>
    </sheetView>
  </sheetViews>
  <sheetFormatPr baseColWidth="10" defaultRowHeight="12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AB3A-BC4E-4C88-8A62-0EFBB00A75AA}">
  <dimension ref="B2:O2"/>
  <sheetViews>
    <sheetView showGridLines="0" workbookViewId="0">
      <selection activeCell="M8" sqref="M8"/>
    </sheetView>
  </sheetViews>
  <sheetFormatPr baseColWidth="10" defaultRowHeight="12" x14ac:dyDescent="0.2"/>
  <cols>
    <col min="18" max="18" width="60.1640625" bestFit="1" customWidth="1"/>
    <col min="19" max="19" width="17.5" bestFit="1" customWidth="1"/>
  </cols>
  <sheetData>
    <row r="2" spans="2:15" ht="44.25" customHeight="1" x14ac:dyDescent="0.2">
      <c r="B2" s="4" t="s">
        <v>18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</sheetData>
  <pageMargins left="0.7" right="0.7" top="0.75" bottom="0.75" header="0.3" footer="0.3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60617-EEDC-4C5C-8234-0B504C00C2E6}">
  <dimension ref="B2:M58"/>
  <sheetViews>
    <sheetView showGridLines="0" tabSelected="1" workbookViewId="0">
      <selection activeCell="K7" sqref="K7"/>
    </sheetView>
  </sheetViews>
  <sheetFormatPr baseColWidth="10" defaultRowHeight="12" x14ac:dyDescent="0.2"/>
  <cols>
    <col min="2" max="2" width="33" customWidth="1"/>
    <col min="3" max="3" width="17.5" bestFit="1" customWidth="1"/>
    <col min="4" max="4" width="18.5" bestFit="1" customWidth="1"/>
    <col min="5" max="5" width="18" customWidth="1"/>
    <col min="6" max="6" width="17.1640625" customWidth="1"/>
  </cols>
  <sheetData>
    <row r="2" spans="2:13" ht="40.5" customHeight="1" x14ac:dyDescent="0.2">
      <c r="B2" s="18" t="s">
        <v>18</v>
      </c>
      <c r="C2" s="17"/>
      <c r="D2" s="17"/>
      <c r="E2" s="17"/>
      <c r="F2" s="17"/>
      <c r="G2" s="17"/>
      <c r="H2" s="17"/>
      <c r="I2" s="19"/>
      <c r="J2" s="19"/>
      <c r="K2" s="19"/>
      <c r="L2" s="19"/>
      <c r="M2" s="19"/>
    </row>
    <row r="22" spans="2:8" x14ac:dyDescent="0.2">
      <c r="B22" s="6" t="s">
        <v>22</v>
      </c>
      <c r="C22" s="9" t="s">
        <v>40</v>
      </c>
      <c r="D22" t="s">
        <v>41</v>
      </c>
      <c r="E22" t="s">
        <v>42</v>
      </c>
      <c r="F22" s="15" t="s">
        <v>43</v>
      </c>
      <c r="G22" s="15" t="s">
        <v>44</v>
      </c>
      <c r="H22" s="15" t="s">
        <v>45</v>
      </c>
    </row>
    <row r="23" spans="2:8" ht="24" x14ac:dyDescent="0.2">
      <c r="B23" s="16" t="s">
        <v>8</v>
      </c>
      <c r="C23" s="9">
        <v>3802992</v>
      </c>
      <c r="D23" s="11">
        <v>3802992</v>
      </c>
      <c r="E23" s="14"/>
      <c r="F23" s="13"/>
      <c r="G23" s="20"/>
      <c r="H23" s="15"/>
    </row>
    <row r="24" spans="2:8" x14ac:dyDescent="0.2">
      <c r="B24" s="8" t="s">
        <v>27</v>
      </c>
      <c r="C24" s="9">
        <v>958739</v>
      </c>
      <c r="D24" s="9">
        <v>958739</v>
      </c>
      <c r="E24" s="14">
        <v>1</v>
      </c>
      <c r="F24" s="13"/>
      <c r="G24" s="20"/>
      <c r="H24" s="15"/>
    </row>
    <row r="25" spans="2:8" x14ac:dyDescent="0.2">
      <c r="B25" s="10" t="s">
        <v>28</v>
      </c>
      <c r="C25" s="9">
        <v>151902</v>
      </c>
      <c r="D25" s="9">
        <v>151902</v>
      </c>
      <c r="E25" s="14">
        <v>0.15843936670981362</v>
      </c>
      <c r="F25" s="13"/>
      <c r="G25" s="20">
        <v>151902</v>
      </c>
      <c r="H25" s="15">
        <v>5</v>
      </c>
    </row>
    <row r="26" spans="2:8" x14ac:dyDescent="0.2">
      <c r="B26" s="10" t="s">
        <v>29</v>
      </c>
      <c r="C26" s="9">
        <v>50727</v>
      </c>
      <c r="D26" s="9">
        <v>50727</v>
      </c>
      <c r="E26" s="14">
        <v>5.2910124653320664E-2</v>
      </c>
      <c r="F26" s="13">
        <v>-0.66605442982975871</v>
      </c>
      <c r="G26" s="20">
        <v>202629</v>
      </c>
      <c r="H26" s="15">
        <v>6</v>
      </c>
    </row>
    <row r="27" spans="2:8" x14ac:dyDescent="0.2">
      <c r="B27" s="10" t="s">
        <v>30</v>
      </c>
      <c r="C27" s="9">
        <v>175830</v>
      </c>
      <c r="D27" s="9">
        <v>175830</v>
      </c>
      <c r="E27" s="14">
        <v>0.18339714979780733</v>
      </c>
      <c r="F27" s="13">
        <v>2.4662014311904903</v>
      </c>
      <c r="G27" s="20">
        <v>378459</v>
      </c>
      <c r="H27" s="15">
        <v>2</v>
      </c>
    </row>
    <row r="28" spans="2:8" x14ac:dyDescent="0.2">
      <c r="B28" s="10" t="s">
        <v>31</v>
      </c>
      <c r="C28" s="9">
        <v>172017</v>
      </c>
      <c r="D28" s="9">
        <v>172017</v>
      </c>
      <c r="E28" s="14">
        <v>0.17942005071244624</v>
      </c>
      <c r="F28" s="13">
        <v>-2.1685719160552806E-2</v>
      </c>
      <c r="G28" s="20">
        <v>550476</v>
      </c>
      <c r="H28" s="15">
        <v>3</v>
      </c>
    </row>
    <row r="29" spans="2:8" x14ac:dyDescent="0.2">
      <c r="B29" s="10" t="s">
        <v>32</v>
      </c>
      <c r="C29" s="9">
        <v>210289</v>
      </c>
      <c r="D29" s="9">
        <v>210289</v>
      </c>
      <c r="E29" s="14">
        <v>0.21933915278297847</v>
      </c>
      <c r="F29" s="13">
        <v>0.22248963765209254</v>
      </c>
      <c r="G29" s="20">
        <v>760765</v>
      </c>
      <c r="H29" s="15">
        <v>1</v>
      </c>
    </row>
    <row r="30" spans="2:8" x14ac:dyDescent="0.2">
      <c r="B30" s="10" t="s">
        <v>33</v>
      </c>
      <c r="C30" s="9">
        <v>169129</v>
      </c>
      <c r="D30" s="9">
        <v>169129</v>
      </c>
      <c r="E30" s="14">
        <v>0.17640776061055199</v>
      </c>
      <c r="F30" s="13">
        <v>-0.19573063736096516</v>
      </c>
      <c r="G30" s="20">
        <v>929894</v>
      </c>
      <c r="H30" s="15">
        <v>4</v>
      </c>
    </row>
    <row r="31" spans="2:8" x14ac:dyDescent="0.2">
      <c r="B31" s="10" t="s">
        <v>34</v>
      </c>
      <c r="C31" s="9">
        <v>28845</v>
      </c>
      <c r="D31" s="9">
        <v>28845</v>
      </c>
      <c r="E31" s="14">
        <v>3.0086394733081685E-2</v>
      </c>
      <c r="F31" s="13">
        <v>-0.82944970998468626</v>
      </c>
      <c r="G31" s="20">
        <v>958739</v>
      </c>
      <c r="H31" s="15">
        <v>7</v>
      </c>
    </row>
    <row r="32" spans="2:8" x14ac:dyDescent="0.2">
      <c r="B32" s="8" t="s">
        <v>26</v>
      </c>
      <c r="C32" s="9">
        <v>1422586</v>
      </c>
      <c r="D32" s="9">
        <v>1422586</v>
      </c>
      <c r="E32" s="14">
        <v>1</v>
      </c>
      <c r="F32" s="13"/>
      <c r="G32" s="20"/>
      <c r="H32" s="15"/>
    </row>
    <row r="33" spans="2:12" x14ac:dyDescent="0.2">
      <c r="B33" s="10" t="s">
        <v>28</v>
      </c>
      <c r="C33" s="9">
        <v>148031</v>
      </c>
      <c r="D33" s="9">
        <v>148031</v>
      </c>
      <c r="E33" s="14">
        <v>0.10405768087131463</v>
      </c>
      <c r="F33" s="13"/>
      <c r="G33" s="20">
        <v>148031</v>
      </c>
      <c r="H33" s="15">
        <v>6</v>
      </c>
    </row>
    <row r="34" spans="2:12" x14ac:dyDescent="0.2">
      <c r="B34" s="10" t="s">
        <v>29</v>
      </c>
      <c r="C34" s="9">
        <v>57373</v>
      </c>
      <c r="D34" s="9">
        <v>57373</v>
      </c>
      <c r="E34" s="14">
        <v>4.03300749480172E-2</v>
      </c>
      <c r="F34" s="13">
        <v>-0.61242577568212064</v>
      </c>
      <c r="G34" s="20">
        <v>205404</v>
      </c>
      <c r="H34" s="15">
        <v>10</v>
      </c>
    </row>
    <row r="35" spans="2:12" x14ac:dyDescent="0.2">
      <c r="B35" s="10" t="s">
        <v>30</v>
      </c>
      <c r="C35" s="9">
        <v>134426</v>
      </c>
      <c r="D35" s="9">
        <v>134426</v>
      </c>
      <c r="E35" s="14">
        <v>9.4494111428061286E-2</v>
      </c>
      <c r="F35" s="13">
        <v>1.3430184930193645</v>
      </c>
      <c r="G35" s="20">
        <v>339830</v>
      </c>
      <c r="H35" s="15">
        <v>7</v>
      </c>
    </row>
    <row r="36" spans="2:12" x14ac:dyDescent="0.2">
      <c r="B36" s="10" t="s">
        <v>31</v>
      </c>
      <c r="C36" s="9">
        <v>107901</v>
      </c>
      <c r="D36" s="9">
        <v>107901</v>
      </c>
      <c r="E36" s="14">
        <v>7.5848490003416313E-2</v>
      </c>
      <c r="F36" s="13">
        <v>-0.19732045883980778</v>
      </c>
      <c r="G36" s="20">
        <v>447731</v>
      </c>
      <c r="H36" s="15">
        <v>8</v>
      </c>
    </row>
    <row r="37" spans="2:12" x14ac:dyDescent="0.2">
      <c r="B37" s="10" t="s">
        <v>32</v>
      </c>
      <c r="C37" s="9">
        <v>173573</v>
      </c>
      <c r="D37" s="9">
        <v>173573</v>
      </c>
      <c r="E37" s="14">
        <v>0.12201230716455806</v>
      </c>
      <c r="F37" s="13">
        <v>0.60863198672857521</v>
      </c>
      <c r="G37" s="20">
        <v>621304</v>
      </c>
      <c r="H37" s="15">
        <v>1</v>
      </c>
    </row>
    <row r="38" spans="2:12" x14ac:dyDescent="0.2">
      <c r="B38" s="10" t="s">
        <v>33</v>
      </c>
      <c r="C38" s="9">
        <v>148336</v>
      </c>
      <c r="D38" s="9">
        <v>148336</v>
      </c>
      <c r="E38" s="14">
        <v>0.10427207915725306</v>
      </c>
      <c r="F38" s="13">
        <v>-0.14539703755768466</v>
      </c>
      <c r="G38" s="20">
        <v>769640</v>
      </c>
      <c r="H38" s="15">
        <v>5</v>
      </c>
    </row>
    <row r="39" spans="2:12" x14ac:dyDescent="0.2">
      <c r="B39" s="10" t="s">
        <v>34</v>
      </c>
      <c r="C39" s="9">
        <v>30661</v>
      </c>
      <c r="D39" s="9">
        <v>30661</v>
      </c>
      <c r="E39" s="14">
        <v>2.1553002771009976E-2</v>
      </c>
      <c r="F39" s="13">
        <v>-0.79330034516233416</v>
      </c>
      <c r="G39" s="20">
        <v>800301</v>
      </c>
      <c r="H39" s="15">
        <v>12</v>
      </c>
    </row>
    <row r="40" spans="2:12" x14ac:dyDescent="0.2">
      <c r="B40" s="10" t="s">
        <v>35</v>
      </c>
      <c r="C40" s="9">
        <v>53610</v>
      </c>
      <c r="D40" s="9">
        <v>53610</v>
      </c>
      <c r="E40" s="14">
        <v>3.7684892161176896E-2</v>
      </c>
      <c r="F40" s="13">
        <v>0.74847526173314638</v>
      </c>
      <c r="G40" s="20">
        <v>853911</v>
      </c>
      <c r="H40" s="15">
        <v>11</v>
      </c>
      <c r="L40" s="20"/>
    </row>
    <row r="41" spans="2:12" x14ac:dyDescent="0.2">
      <c r="B41" s="10" t="s">
        <v>36</v>
      </c>
      <c r="C41" s="9">
        <v>101592</v>
      </c>
      <c r="D41" s="9">
        <v>101592</v>
      </c>
      <c r="E41" s="14">
        <v>7.1413608737890016E-2</v>
      </c>
      <c r="F41" s="13">
        <v>0.89501958589815334</v>
      </c>
      <c r="G41" s="20">
        <v>955503</v>
      </c>
      <c r="H41" s="15">
        <v>9</v>
      </c>
      <c r="L41" s="20"/>
    </row>
    <row r="42" spans="2:12" x14ac:dyDescent="0.2">
      <c r="B42" s="10" t="s">
        <v>37</v>
      </c>
      <c r="C42" s="9">
        <v>153372</v>
      </c>
      <c r="D42" s="9">
        <v>153372</v>
      </c>
      <c r="E42" s="14">
        <v>0.10781211118343637</v>
      </c>
      <c r="F42" s="13">
        <v>0.50968580203165603</v>
      </c>
      <c r="G42" s="20">
        <v>1108875</v>
      </c>
      <c r="H42" s="15">
        <v>3</v>
      </c>
    </row>
    <row r="43" spans="2:12" x14ac:dyDescent="0.2">
      <c r="B43" s="10" t="s">
        <v>38</v>
      </c>
      <c r="C43" s="9">
        <v>164814</v>
      </c>
      <c r="D43" s="9">
        <v>164814</v>
      </c>
      <c r="E43" s="14">
        <v>0.11585521015952638</v>
      </c>
      <c r="F43" s="13">
        <v>7.4602926218605745E-2</v>
      </c>
      <c r="G43" s="20">
        <v>1273689</v>
      </c>
      <c r="H43" s="15">
        <v>2</v>
      </c>
    </row>
    <row r="44" spans="2:12" x14ac:dyDescent="0.2">
      <c r="B44" s="10" t="s">
        <v>39</v>
      </c>
      <c r="C44" s="9">
        <v>148897</v>
      </c>
      <c r="D44" s="9">
        <v>148897</v>
      </c>
      <c r="E44" s="14">
        <v>0.1046664314143398</v>
      </c>
      <c r="F44" s="13">
        <v>-9.6575533631851659E-2</v>
      </c>
      <c r="G44" s="20">
        <v>1422586</v>
      </c>
      <c r="H44" s="15">
        <v>4</v>
      </c>
    </row>
    <row r="45" spans="2:12" x14ac:dyDescent="0.2">
      <c r="B45" s="8" t="s">
        <v>25</v>
      </c>
      <c r="C45" s="9">
        <v>1421667</v>
      </c>
      <c r="D45" s="9">
        <v>1421667</v>
      </c>
      <c r="E45" s="14">
        <v>1</v>
      </c>
      <c r="F45" s="13"/>
      <c r="G45" s="20"/>
      <c r="H45" s="15"/>
    </row>
    <row r="46" spans="2:12" x14ac:dyDescent="0.2">
      <c r="B46" s="10" t="s">
        <v>28</v>
      </c>
      <c r="C46" s="9">
        <v>154483</v>
      </c>
      <c r="D46" s="9">
        <v>154483</v>
      </c>
      <c r="E46" s="14">
        <v>0.10866328050098933</v>
      </c>
      <c r="F46" s="13"/>
      <c r="G46" s="20">
        <v>154483</v>
      </c>
      <c r="H46" s="15">
        <v>3</v>
      </c>
    </row>
    <row r="47" spans="2:12" x14ac:dyDescent="0.2">
      <c r="B47" s="10" t="s">
        <v>29</v>
      </c>
      <c r="C47" s="9">
        <v>54995</v>
      </c>
      <c r="D47" s="9">
        <v>54995</v>
      </c>
      <c r="E47" s="14">
        <v>3.8683461035530824E-2</v>
      </c>
      <c r="F47" s="13">
        <v>-0.64400613659755446</v>
      </c>
      <c r="G47" s="20">
        <v>209478</v>
      </c>
      <c r="H47" s="15">
        <v>10</v>
      </c>
    </row>
    <row r="48" spans="2:12" x14ac:dyDescent="0.2">
      <c r="B48" s="10" t="s">
        <v>30</v>
      </c>
      <c r="C48" s="9">
        <v>121504</v>
      </c>
      <c r="D48" s="9">
        <v>121504</v>
      </c>
      <c r="E48" s="14">
        <v>8.5465865072481814E-2</v>
      </c>
      <c r="F48" s="13">
        <v>1.2093644876806982</v>
      </c>
      <c r="G48" s="20">
        <v>330982</v>
      </c>
      <c r="H48" s="15">
        <v>8</v>
      </c>
    </row>
    <row r="49" spans="2:8" x14ac:dyDescent="0.2">
      <c r="B49" s="10" t="s">
        <v>31</v>
      </c>
      <c r="C49" s="9">
        <v>141282</v>
      </c>
      <c r="D49" s="9">
        <v>141282</v>
      </c>
      <c r="E49" s="14">
        <v>9.9377702373340593E-2</v>
      </c>
      <c r="F49" s="13">
        <v>0.16277653410587306</v>
      </c>
      <c r="G49" s="20">
        <v>472264</v>
      </c>
      <c r="H49" s="15">
        <v>7</v>
      </c>
    </row>
    <row r="50" spans="2:8" x14ac:dyDescent="0.2">
      <c r="B50" s="10" t="s">
        <v>32</v>
      </c>
      <c r="C50" s="9">
        <v>166846</v>
      </c>
      <c r="D50" s="9">
        <v>166846</v>
      </c>
      <c r="E50" s="14">
        <v>0.11735940976332714</v>
      </c>
      <c r="F50" s="13">
        <v>0.18094307838224261</v>
      </c>
      <c r="G50" s="20">
        <v>639110</v>
      </c>
      <c r="H50" s="15">
        <v>1</v>
      </c>
    </row>
    <row r="51" spans="2:8" x14ac:dyDescent="0.2">
      <c r="B51" s="10" t="s">
        <v>33</v>
      </c>
      <c r="C51" s="9">
        <v>142138</v>
      </c>
      <c r="D51" s="9">
        <v>142138</v>
      </c>
      <c r="E51" s="14">
        <v>9.9979812431462506E-2</v>
      </c>
      <c r="F51" s="13">
        <v>-0.1480886566054925</v>
      </c>
      <c r="G51" s="20">
        <v>781248</v>
      </c>
      <c r="H51" s="15">
        <v>6</v>
      </c>
    </row>
    <row r="52" spans="2:8" x14ac:dyDescent="0.2">
      <c r="B52" s="10" t="s">
        <v>34</v>
      </c>
      <c r="C52" s="9">
        <v>34149</v>
      </c>
      <c r="D52" s="9">
        <v>34149</v>
      </c>
      <c r="E52" s="14">
        <v>2.4020392961220875E-2</v>
      </c>
      <c r="F52" s="13">
        <v>-0.75974756926367337</v>
      </c>
      <c r="G52" s="20">
        <v>815397</v>
      </c>
      <c r="H52" s="15">
        <v>12</v>
      </c>
    </row>
    <row r="53" spans="2:8" x14ac:dyDescent="0.2">
      <c r="B53" s="10" t="s">
        <v>35</v>
      </c>
      <c r="C53" s="9">
        <v>42282</v>
      </c>
      <c r="D53" s="9">
        <v>42282</v>
      </c>
      <c r="E53" s="14">
        <v>2.9741141912979621E-2</v>
      </c>
      <c r="F53" s="13">
        <v>0.23816217165949222</v>
      </c>
      <c r="G53" s="20">
        <v>857679</v>
      </c>
      <c r="H53" s="15">
        <v>11</v>
      </c>
    </row>
    <row r="54" spans="2:8" x14ac:dyDescent="0.2">
      <c r="B54" s="10" t="s">
        <v>36</v>
      </c>
      <c r="C54" s="9">
        <v>102435</v>
      </c>
      <c r="D54" s="9">
        <v>102435</v>
      </c>
      <c r="E54" s="14">
        <v>7.2052738088455318E-2</v>
      </c>
      <c r="F54" s="13">
        <v>1.4226621257272598</v>
      </c>
      <c r="G54" s="20">
        <v>960114</v>
      </c>
      <c r="H54" s="15">
        <v>9</v>
      </c>
    </row>
    <row r="55" spans="2:8" x14ac:dyDescent="0.2">
      <c r="B55" s="10" t="s">
        <v>37</v>
      </c>
      <c r="C55" s="9">
        <v>152519</v>
      </c>
      <c r="D55" s="9">
        <v>152519</v>
      </c>
      <c r="E55" s="14">
        <v>0.10728180368539186</v>
      </c>
      <c r="F55" s="13">
        <v>0.4889344462341973</v>
      </c>
      <c r="G55" s="20">
        <v>1112633</v>
      </c>
      <c r="H55" s="15">
        <v>4</v>
      </c>
    </row>
    <row r="56" spans="2:8" x14ac:dyDescent="0.2">
      <c r="B56" s="10" t="s">
        <v>38</v>
      </c>
      <c r="C56" s="9">
        <v>162715</v>
      </c>
      <c r="D56" s="9">
        <v>162715</v>
      </c>
      <c r="E56" s="14">
        <v>0.11445366601320844</v>
      </c>
      <c r="F56" s="13">
        <v>6.685068745533343E-2</v>
      </c>
      <c r="G56" s="20">
        <v>1275348</v>
      </c>
      <c r="H56" s="15">
        <v>2</v>
      </c>
    </row>
    <row r="57" spans="2:8" x14ac:dyDescent="0.2">
      <c r="B57" s="10" t="s">
        <v>39</v>
      </c>
      <c r="C57" s="9">
        <v>146319</v>
      </c>
      <c r="D57" s="9">
        <v>146319</v>
      </c>
      <c r="E57" s="14">
        <v>0.10292072616161169</v>
      </c>
      <c r="F57" s="13">
        <v>-0.10076514150508557</v>
      </c>
      <c r="G57" s="20">
        <v>1421667</v>
      </c>
      <c r="H57" s="15">
        <v>5</v>
      </c>
    </row>
    <row r="58" spans="2:8" x14ac:dyDescent="0.2">
      <c r="B58" s="7" t="s">
        <v>23</v>
      </c>
      <c r="C58" s="9">
        <v>3802992</v>
      </c>
      <c r="D58" s="12">
        <v>3802992</v>
      </c>
      <c r="E58" s="14"/>
      <c r="F58" s="13"/>
      <c r="G58" s="20"/>
      <c r="H58" s="15"/>
    </row>
  </sheetData>
  <conditionalFormatting pivot="1" sqref="D25:D31 D33:D44 D46:D57">
    <cfRule type="dataBar" priority="41">
      <dataBar showValue="0">
        <cfvo type="min"/>
        <cfvo type="max"/>
        <color rgb="FFFF555A"/>
      </dataBar>
      <extLst>
        <ext xmlns:x14="http://schemas.microsoft.com/office/spreadsheetml/2009/9/main" uri="{B025F937-C7B1-47D3-B67F-A62EFF666E3E}">
          <x14:id>{775931BD-D32A-4724-8B6D-A3A9EF3FA63E}</x14:id>
        </ext>
      </extLst>
    </cfRule>
  </conditionalFormatting>
  <conditionalFormatting pivot="1" sqref="D32 D24 D45">
    <cfRule type="dataBar" priority="40">
      <dataBar showValue="0">
        <cfvo type="min"/>
        <cfvo type="max"/>
        <color theme="0"/>
      </dataBar>
      <extLst>
        <ext xmlns:x14="http://schemas.microsoft.com/office/spreadsheetml/2009/9/main" uri="{B025F937-C7B1-47D3-B67F-A62EFF666E3E}">
          <x14:id>{1E84A95D-4149-4F22-A003-BF6D8C9624CE}</x14:id>
        </ext>
      </extLst>
    </cfRule>
  </conditionalFormatting>
  <conditionalFormatting pivot="1">
    <cfRule type="top10" dxfId="45" priority="39" rank="1"/>
  </conditionalFormatting>
  <conditionalFormatting pivot="1">
    <cfRule type="top10" dxfId="44" priority="38" rank="1"/>
  </conditionalFormatting>
  <conditionalFormatting pivot="1">
    <cfRule type="top10" dxfId="43" priority="37" rank="1"/>
  </conditionalFormatting>
  <conditionalFormatting sqref="B25:B31">
    <cfRule type="top10" dxfId="42" priority="36" rank="1"/>
  </conditionalFormatting>
  <conditionalFormatting sqref="B27">
    <cfRule type="top10" dxfId="41" priority="35" rank="10"/>
  </conditionalFormatting>
  <conditionalFormatting pivot="1">
    <cfRule type="top10" dxfId="40" priority="34" rank="1"/>
  </conditionalFormatting>
  <conditionalFormatting pivot="1">
    <cfRule type="top10" dxfId="39" priority="33" rank="1"/>
  </conditionalFormatting>
  <conditionalFormatting pivot="1">
    <cfRule type="top10" dxfId="38" priority="32" rank="1"/>
  </conditionalFormatting>
  <conditionalFormatting pivot="1" sqref="F25:F31">
    <cfRule type="top10" dxfId="37" priority="31" rank="1"/>
  </conditionalFormatting>
  <conditionalFormatting pivot="1" sqref="F33:F44">
    <cfRule type="top10" dxfId="36" priority="30" rank="1"/>
  </conditionalFormatting>
  <conditionalFormatting pivot="1" sqref="F46:F57">
    <cfRule type="top10" dxfId="35" priority="29" rank="1"/>
  </conditionalFormatting>
  <conditionalFormatting pivot="1" sqref="E33:E44">
    <cfRule type="top10" dxfId="34" priority="28" rank="1"/>
  </conditionalFormatting>
  <conditionalFormatting pivot="1" sqref="E25:E31">
    <cfRule type="top10" dxfId="33" priority="27" rank="1"/>
  </conditionalFormatting>
  <conditionalFormatting pivot="1" sqref="E46:E57">
    <cfRule type="top10" dxfId="32" priority="26" rank="1"/>
  </conditionalFormatting>
  <conditionalFormatting pivot="1">
    <cfRule type="top10" dxfId="31" priority="25" rank="1"/>
  </conditionalFormatting>
  <conditionalFormatting pivot="1">
    <cfRule type="top10" dxfId="30" priority="24" rank="1"/>
  </conditionalFormatting>
  <conditionalFormatting pivot="1">
    <cfRule type="top10" dxfId="29" priority="23" rank="1"/>
  </conditionalFormatting>
  <conditionalFormatting pivot="1">
    <cfRule type="top10" dxfId="28" priority="22" rank="1"/>
  </conditionalFormatting>
  <conditionalFormatting pivot="1">
    <cfRule type="top10" dxfId="27" priority="21" rank="1"/>
  </conditionalFormatting>
  <conditionalFormatting pivot="1">
    <cfRule type="top10" dxfId="26" priority="20" rank="1"/>
  </conditionalFormatting>
  <conditionalFormatting pivot="1">
    <cfRule type="top10" dxfId="25" priority="19" rank="1"/>
  </conditionalFormatting>
  <conditionalFormatting pivot="1">
    <cfRule type="top10" dxfId="24" priority="18" rank="1"/>
  </conditionalFormatting>
  <conditionalFormatting pivot="1">
    <cfRule type="top10" dxfId="23" priority="17" rank="1"/>
  </conditionalFormatting>
  <conditionalFormatting pivot="1">
    <cfRule type="top10" dxfId="22" priority="16" rank="1"/>
  </conditionalFormatting>
  <conditionalFormatting pivot="1">
    <cfRule type="top10" dxfId="21" priority="15" rank="1"/>
  </conditionalFormatting>
  <conditionalFormatting pivot="1">
    <cfRule type="top10" dxfId="20" priority="14" rank="1"/>
  </conditionalFormatting>
  <conditionalFormatting pivot="1" sqref="C25:C31">
    <cfRule type="top10" dxfId="19" priority="13" rank="1"/>
  </conditionalFormatting>
  <conditionalFormatting pivot="1" sqref="C33:C44">
    <cfRule type="top10" dxfId="18" priority="12" rank="1"/>
  </conditionalFormatting>
  <conditionalFormatting pivot="1" sqref="C46:C57">
    <cfRule type="top10" dxfId="17" priority="11" rank="1"/>
  </conditionalFormatting>
  <conditionalFormatting pivot="1">
    <cfRule type="dataBar" priority="10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{976F2FB4-A554-40D0-90FB-B7333854F340}</x14:id>
        </ext>
      </extLst>
    </cfRule>
  </conditionalFormatting>
  <conditionalFormatting pivot="1">
    <cfRule type="dataBar" priority="9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{B3B51F59-425B-48F8-B6FD-7F49F9D20ADF}</x14:id>
        </ext>
      </extLst>
    </cfRule>
  </conditionalFormatting>
  <conditionalFormatting pivot="1">
    <cfRule type="dataBar" priority="8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{0242EEAB-DEF8-4BF7-98E7-2BBF17B6BE22}</x14:id>
        </ext>
      </extLst>
    </cfRule>
  </conditionalFormatting>
  <conditionalFormatting sqref="L40:L41">
    <cfRule type="dataBar" priority="7">
      <dataBar>
        <cfvo type="min"/>
        <cfvo type="max"/>
        <color theme="0"/>
      </dataBar>
      <extLst>
        <ext xmlns:x14="http://schemas.microsoft.com/office/spreadsheetml/2009/9/main" uri="{B025F937-C7B1-47D3-B67F-A62EFF666E3E}">
          <x14:id>{819B42DC-674B-450F-9CB0-1169982E7FFC}</x14:id>
        </ext>
      </extLst>
    </cfRule>
  </conditionalFormatting>
  <conditionalFormatting pivot="1">
    <cfRule type="dataBar" priority="6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{D12BCEEB-A480-4296-B197-9444B8D1C1F5}</x14:id>
        </ext>
      </extLst>
    </cfRule>
  </conditionalFormatting>
  <conditionalFormatting pivot="1">
    <cfRule type="dataBar" priority="5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{3DABB66C-9552-4036-948A-74DBC4471D84}</x14:id>
        </ext>
      </extLst>
    </cfRule>
  </conditionalFormatting>
  <conditionalFormatting pivot="1">
    <cfRule type="dataBar" priority="4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{A3F72B7D-5D57-4887-B3C5-6AAE7A798DD6}</x14:id>
        </ext>
      </extLst>
    </cfRule>
  </conditionalFormatting>
  <conditionalFormatting pivot="1" sqref="G25:G31">
    <cfRule type="dataBar" priority="3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{7BD595DA-7E61-4C77-8460-D7C0C87979C6}</x14:id>
        </ext>
      </extLst>
    </cfRule>
  </conditionalFormatting>
  <conditionalFormatting pivot="1" sqref="G33:G44">
    <cfRule type="dataBar" priority="2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{AC174758-872B-4A4A-A0E8-357108D209E6}</x14:id>
        </ext>
      </extLst>
    </cfRule>
  </conditionalFormatting>
  <conditionalFormatting pivot="1" sqref="G46:G57">
    <cfRule type="dataBar" priority="1">
      <dataBar>
        <cfvo type="min"/>
        <cfvo type="max"/>
        <color rgb="FFFFD5D5"/>
      </dataBar>
      <extLst>
        <ext xmlns:x14="http://schemas.microsoft.com/office/spreadsheetml/2009/9/main" uri="{B025F937-C7B1-47D3-B67F-A62EFF666E3E}">
          <x14:id>{AB4D11E1-ECCF-478F-A73E-5500EA5FC5B4}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75931BD-D32A-4724-8B6D-A3A9EF3FA6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D25:D31 D33:D44 D46:D57</xm:sqref>
        </x14:conditionalFormatting>
        <x14:conditionalFormatting xmlns:xm="http://schemas.microsoft.com/office/excel/2006/main" pivot="1">
          <x14:cfRule type="dataBar" id="{1E84A95D-4149-4F22-A003-BF6D8C9624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D32 D24 D45</xm:sqref>
        </x14:conditionalFormatting>
        <x14:conditionalFormatting xmlns:xm="http://schemas.microsoft.com/office/excel/2006/main" pivot="1">
          <x14:cfRule type="dataBar" id="{976F2FB4-A554-40D0-90FB-B7333854F3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  <x14:conditionalFormatting xmlns:xm="http://schemas.microsoft.com/office/excel/2006/main" pivot="1">
          <x14:cfRule type="dataBar" id="{B3B51F59-425B-48F8-B6FD-7F49F9D20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  <x14:conditionalFormatting xmlns:xm="http://schemas.microsoft.com/office/excel/2006/main" pivot="1">
          <x14:cfRule type="dataBar" id="{0242EEAB-DEF8-4BF7-98E7-2BBF17B6B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  <x14:conditionalFormatting xmlns:xm="http://schemas.microsoft.com/office/excel/2006/main">
          <x14:cfRule type="dataBar" id="{819B42DC-674B-450F-9CB0-1169982E7FFC}">
            <x14:dataBar minLength="0" maxLength="100" border="1" gradient="0">
              <x14:cfvo type="autoMin"/>
              <x14:cfvo type="autoMax"/>
              <x14:borderColor rgb="FFFF5050"/>
              <x14:negativeFillColor rgb="FFFF0000"/>
              <x14:axisColor rgb="FF000000"/>
            </x14:dataBar>
          </x14:cfRule>
          <xm:sqref>L40:L41</xm:sqref>
        </x14:conditionalFormatting>
        <x14:conditionalFormatting xmlns:xm="http://schemas.microsoft.com/office/excel/2006/main" pivot="1">
          <x14:cfRule type="dataBar" id="{D12BCEEB-A480-4296-B197-9444B8D1C1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  <x14:conditionalFormatting xmlns:xm="http://schemas.microsoft.com/office/excel/2006/main" pivot="1">
          <x14:cfRule type="dataBar" id="{3DABB66C-9552-4036-948A-74DBC4471D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  <x14:conditionalFormatting xmlns:xm="http://schemas.microsoft.com/office/excel/2006/main" pivot="1">
          <x14:cfRule type="dataBar" id="{A3F72B7D-5D57-4887-B3C5-6AAE7A798D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  <x14:conditionalFormatting xmlns:xm="http://schemas.microsoft.com/office/excel/2006/main" pivot="1">
          <x14:cfRule type="dataBar" id="{7BD595DA-7E61-4C77-8460-D7C0C87979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G25:G31</xm:sqref>
        </x14:conditionalFormatting>
        <x14:conditionalFormatting xmlns:xm="http://schemas.microsoft.com/office/excel/2006/main" pivot="1">
          <x14:cfRule type="dataBar" id="{AC174758-872B-4A4A-A0E8-357108D209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G33:G44</xm:sqref>
        </x14:conditionalFormatting>
        <x14:conditionalFormatting xmlns:xm="http://schemas.microsoft.com/office/excel/2006/main" pivot="1">
          <x14:cfRule type="dataBar" id="{AB4D11E1-ECCF-478F-A73E-5500EA5FC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G46:G57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0B1C55-DA85-4DA8-8CB6-1970F47FB9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TBL_USEP</vt:lpstr>
      <vt:lpstr>IMG</vt:lpstr>
      <vt:lpstr>Visualisation</vt:lpstr>
      <vt:lpstr>Tableau Croisé Dynamique</vt:lpstr>
    </vt:vector>
  </TitlesOfParts>
  <Company>EPFL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2026-10-14T12:04:59Z</dcterms:created>
  <dcterms:modified xsi:type="dcterms:W3CDTF">2026-10-20T08:28:52Z</dcterms:modified>
</cp:coreProperties>
</file>