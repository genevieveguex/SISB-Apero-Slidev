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3/RECOLTE 2026/"/>
    </mc:Choice>
  </mc:AlternateContent>
  <xr:revisionPtr revIDLastSave="1441" documentId="8_{B86F2B6C-3DE1-486D-B3D3-0A1863A11CDA}" xr6:coauthVersionLast="47" xr6:coauthVersionMax="47" xr10:uidLastSave="{DB568A99-AFC6-48EB-B822-C69C82F841B0}"/>
  <bookViews>
    <workbookView xWindow="-120" yWindow="-120" windowWidth="51840" windowHeight="21120" xr2:uid="{537DF2C6-54A6-4649-8875-CD01F068054D}"/>
  </bookViews>
  <sheets>
    <sheet name="USEP_2026" sheetId="6" r:id="rId1"/>
    <sheet name="USEP_2025" sheetId="2" r:id="rId2"/>
    <sheet name="USEP_2024" sheetId="1" r:id="rId3"/>
  </sheets>
  <definedNames>
    <definedName name="PlageDates2026">#REF!</definedName>
    <definedName name="PlageEntrees2026">#REF!</definedName>
    <definedName name="PlagePrets2026">#REF!</definedName>
    <definedName name="PlagesSollicitations202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<sst xmlns="http://schemas.openxmlformats.org/spreadsheetml/2006/main" count="84" uniqueCount="52">
  <si>
    <t>N° Indicateur</t>
  </si>
  <si>
    <t>Indicateur</t>
  </si>
  <si>
    <t>Descriptif indicateur</t>
  </si>
  <si>
    <t>BAT_010</t>
  </si>
  <si>
    <t>Bâtiment : Entrées physiques (nombre)</t>
  </si>
  <si>
    <t>janv.25</t>
  </si>
  <si>
    <t>févr.25</t>
  </si>
  <si>
    <t>mars25</t>
  </si>
  <si>
    <t>avr.25</t>
  </si>
  <si>
    <t>mai25</t>
  </si>
  <si>
    <t>juin25</t>
  </si>
  <si>
    <t>juil.25</t>
  </si>
  <si>
    <t>août25</t>
  </si>
  <si>
    <t>sept.25</t>
  </si>
  <si>
    <t>oct.25</t>
  </si>
  <si>
    <t>nov.25</t>
  </si>
  <si>
    <t>déc.25</t>
  </si>
  <si>
    <t>janv.24</t>
  </si>
  <si>
    <t>févr.24</t>
  </si>
  <si>
    <t>mars24</t>
  </si>
  <si>
    <t>avr.24</t>
  </si>
  <si>
    <t>mai24</t>
  </si>
  <si>
    <t>juin24</t>
  </si>
  <si>
    <t>juil.24</t>
  </si>
  <si>
    <t>août24</t>
  </si>
  <si>
    <t>sept.24</t>
  </si>
  <si>
    <t>oct.24</t>
  </si>
  <si>
    <t>nov.24</t>
  </si>
  <si>
    <t>déc.24</t>
  </si>
  <si>
    <t>REQ_010</t>
  </si>
  <si>
    <t>Sollicitations : Guichets physiques - demandes (nombre)</t>
  </si>
  <si>
    <t>Nombre de sollicitations au guichet physique durant le mois</t>
  </si>
  <si>
    <t>USE_010</t>
  </si>
  <si>
    <t>Usage : Prêts  locaux + PER + PEB avec prolongations (nombre)</t>
  </si>
  <si>
    <t>Nombre d'entrées physiques; 
comptage: total mensuel du système à diviser par deux si comptabilise entrées et sorties</t>
  </si>
  <si>
    <t>Nombre de documents du fonds prêtés et sous prolongation durant le mois;
inclus: prêt en réseau, prêt entre bibliothèques; prêts sans prolongation</t>
  </si>
  <si>
    <t>Nombre de documents du fonds prêtés et sous prolongation durant le mois;
inclus: prêt en réseau, prêt entre bibliothèques; inclus les prêts sans prolongation</t>
  </si>
  <si>
    <t>Équipe</t>
  </si>
  <si>
    <t>ASAP</t>
  </si>
  <si>
    <t>FDOC</t>
  </si>
  <si>
    <t>janv.26</t>
  </si>
  <si>
    <t>févr.26</t>
  </si>
  <si>
    <t>mars26</t>
  </si>
  <si>
    <t>avr.26</t>
  </si>
  <si>
    <t>mai26</t>
  </si>
  <si>
    <t>juin26</t>
  </si>
  <si>
    <t>juil.26</t>
  </si>
  <si>
    <t>août26</t>
  </si>
  <si>
    <t>sept.26</t>
  </si>
  <si>
    <t>oct.26</t>
  </si>
  <si>
    <t>nov.26</t>
  </si>
  <si>
    <t>déc.26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</si>
</sst>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0_-;_-@_-"/>
    <numFmt numFmtId="165" formatCode="_-* #,##0_-;\-* #,##0_-;_-* &quot;-&quot;??_-;_-@_-"/>
  </numFmts>
  <fonts count="7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b/>
      <sz val="9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164" fontId="6" fillId="0" borderId="0" xfId="0" applyNumberFormat="1" applyFont="1"/>
    <xf numFmtId="0" fontId="3" fillId="0" borderId="0" xfId="2" applyFont="1" applyAlignment="1">
      <alignment horizontal="center" vertical="center" wrapText="1"/>
    </xf>
    <xf numFmtId="0" fontId="3" fillId="0" borderId="0" xfId="2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5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4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165" fontId="5" fillId="0" borderId="0" xfId="1" applyNumberFormat="1" applyFont="1" applyFill="1" applyBorder="1" applyAlignment="1">
      <alignment horizontal="center" vertical="center"/>
    </xf>
    <xf numFmtId="49" fontId="3" fillId="0" borderId="0" xfId="2" applyNumberFormat="1" applyFont="1" applyAlignment="1">
      <alignment horizontal="center" vertical="center" wrapText="1"/>
    </xf>
  </cellXfs>
  <cellStyles count="3">
    <cellStyle name="Milliers" xfId="1" builtinId="3"/>
    <cellStyle name="Normal" xfId="0" builtinId="0"/>
    <cellStyle name="Normal 2" xfId="2" xr:uid="{D0C2D436-22CC-4622-BFAB-EE73B1162312}"/>
  </cellStyles>
  <dxfs count="5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B5D26-D6D4-45FE-9BEE-7E3541DA51DC}" name="TBL_USEP_2026" displayName="TBL_USEP_2026" ref="A1:P4" totalsRowShown="0" headerRowDxfId="35" dataDxfId="34" headerRowCellStyle="Normal 2">
  <autoFilter ref="A1:P4" xr:uid="{FE5B5D26-D6D4-45FE-9BEE-7E3541DA51DC}"/>
  <tableColumns count="16">
    <tableColumn id="1" xr3:uid="{41BD5732-5556-4169-BA3E-70A38A7C7305}" name="N° Indicateur" dataDxfId="33"/>
    <tableColumn id="2" xr3:uid="{D987DC9C-D5BD-4A34-9A43-8EAFCED0125E}" name="Équipe" dataDxfId="32"/>
    <tableColumn id="3" xr3:uid="{545B44AE-DB69-4E69-B6CD-DB9EAB733F5A}" name="Indicateur" dataDxfId="31"/>
    <tableColumn id="4" xr3:uid="{431406C4-32F3-458A-BF48-1D14D7B3D442}" name="Descriptif indicateur" dataDxfId="30"/>
    <tableColumn id="5" xr3:uid="{82F2BF13-92F5-4FF4-AB8C-185145D618AD}" name="janv.26" dataDxfId="29"/>
    <tableColumn id="6" xr3:uid="{A4068882-214D-4AAE-B2E0-49DEAAE648F7}" name="févr.26" dataDxfId="28"/>
    <tableColumn id="7" xr3:uid="{CF274C19-1BB8-461C-8F1B-B51E236707AD}" name="mars26" dataDxfId="27"/>
    <tableColumn id="8" xr3:uid="{68763E8E-D0FA-4C54-AA16-ED7ED67C7ED3}" name="avr.26" dataDxfId="26"/>
    <tableColumn id="9" xr3:uid="{D933F7F0-60A5-48E3-A231-B7D673FE66D8}" name="mai26" dataDxfId="25"/>
    <tableColumn id="10" xr3:uid="{36BEC7F8-5F5F-4BC5-94DC-CA0DF4301B29}" name="juin26" dataDxfId="24"/>
    <tableColumn id="11" xr3:uid="{B9534581-3166-4D17-A5EC-15C9DD012630}" name="juil.26" dataDxfId="23"/>
    <tableColumn id="12" xr3:uid="{2211F4C9-0E9F-4E2E-8888-367FFF24D05F}" name="août26" dataDxfId="22"/>
    <tableColumn id="13" xr3:uid="{45CD2345-B012-41DD-92E7-E9575B9AA733}" name="sept.26" dataDxfId="21"/>
    <tableColumn id="14" xr3:uid="{A03AD678-42D2-4C5D-B349-AD1E0F1DDD72}" name="oct.26" dataDxfId="20"/>
    <tableColumn id="15" xr3:uid="{F2FBD7B4-E7D9-4BD4-9AA5-944619803BE5}" name="nov.26" dataDxfId="19"/>
    <tableColumn id="16" xr3:uid="{5FFC57C8-C568-4A1C-9A1C-6BBA48A28FC0}" name="déc.26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D8869E-0EB3-468A-9EAA-DA81846D2F2D}" name="TBL_USEP_2025" displayName="TBL_USEP_2025" ref="A1:P4" totalsRowShown="0" headerRowDxfId="17" dataDxfId="16" headerRowCellStyle="Normal 2">
  <autoFilter ref="A1:P4" xr:uid="{62D8869E-0EB3-468A-9EAA-DA81846D2F2D}"/>
  <tableColumns count="16">
    <tableColumn id="1" xr3:uid="{BE65C68B-1553-46D2-825A-ED7110D65F2B}" name="N° Indicateur" dataDxfId="15"/>
    <tableColumn id="2" xr3:uid="{DDF081DC-85F0-45F1-90EA-7BF7506E52CA}" name="Équipe" dataDxfId="14"/>
    <tableColumn id="3" xr3:uid="{EDD101BB-CCBC-43A3-8E70-1DB57EEA5001}" name="Indicateur" dataDxfId="13"/>
    <tableColumn id="4" xr3:uid="{DB2002E4-9964-4C1E-B53B-71AE76E2FF90}" name="Descriptif indicateur" dataDxfId="12"/>
    <tableColumn id="5" xr3:uid="{8F825606-5FC0-4E25-8D4F-54B08BB4F4F3}" name="janv.25" dataDxfId="11"/>
    <tableColumn id="6" xr3:uid="{5CAE5512-8D1D-48FF-9772-A2ABC519CDAE}" name="févr.25" dataDxfId="10"/>
    <tableColumn id="7" xr3:uid="{3BDD2626-AAA6-4DEC-AF6F-DBFC8783A7C5}" name="mars25" dataDxfId="9"/>
    <tableColumn id="8" xr3:uid="{817E5857-4203-4ED8-B185-05DDB9521772}" name="avr.25" dataDxfId="8"/>
    <tableColumn id="9" xr3:uid="{AD775858-CCD5-40F3-A9BF-721FA6582E5B}" name="mai25" dataDxfId="7"/>
    <tableColumn id="10" xr3:uid="{ACAA387B-6286-40C0-AF7F-3A45B3CC8032}" name="juin25" dataDxfId="6"/>
    <tableColumn id="11" xr3:uid="{108BB112-5793-4D64-A5C9-0D5B8B79436D}" name="juil.25" dataDxfId="5"/>
    <tableColumn id="12" xr3:uid="{32817ED4-0D81-42FD-A8C4-C1BBBEEA744A}" name="août25" dataDxfId="4"/>
    <tableColumn id="13" xr3:uid="{20EEFCD8-A569-4BFF-9CC8-1A1BFE8A8B60}" name="sept.25" dataDxfId="3"/>
    <tableColumn id="14" xr3:uid="{E091E06E-DC4D-47B9-9F65-F30BC4BE136B}" name="oct.25" dataDxfId="2"/>
    <tableColumn id="15" xr3:uid="{53DAC1AA-3282-4BCD-8CE9-C20F1CB18592}" name="nov.25" dataDxfId="1"/>
    <tableColumn id="16" xr3:uid="{36E6877F-D0F2-42D1-B992-A932D2DA7B0A}" name="déc.25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97A496-1E9E-43D8-BC67-8369335930BA}" name="TBL_USEP_2024" displayName="TBL_USEP_2024" ref="A1:P4" totalsRowShown="0" headerRowDxfId="53" dataDxfId="52" headerRowCellStyle="Normal 2">
  <autoFilter ref="A1:P4" xr:uid="{ED97A496-1E9E-43D8-BC67-8369335930BA}"/>
  <tableColumns count="16">
    <tableColumn id="1" xr3:uid="{7BFA949C-0C3A-4157-A7ED-773618E82D8D}" name="N° Indicateur" dataDxfId="51"/>
    <tableColumn id="2" xr3:uid="{7EA26EF2-E8C2-4EDC-99D2-459016BB4C38}" name="Équipe" dataDxfId="50"/>
    <tableColumn id="3" xr3:uid="{D07B0472-9E43-4672-80D3-C842534E9C92}" name="Indicateur" dataDxfId="49"/>
    <tableColumn id="4" xr3:uid="{5D2D5FBF-BBD3-44BD-9DA1-A41B91D9E7C9}" name="Descriptif indicateur" dataDxfId="48"/>
    <tableColumn id="5" xr3:uid="{05D9ADF8-7855-46BC-9F8F-9491CFD343BE}" name="janv.24" dataDxfId="47"/>
    <tableColumn id="6" xr3:uid="{0C60C792-AB40-49C0-A720-60732FCB8EFA}" name="févr.24" dataDxfId="46"/>
    <tableColumn id="7" xr3:uid="{94D71EDB-31DF-455F-9613-FCA624176CD4}" name="mars24" dataDxfId="45"/>
    <tableColumn id="8" xr3:uid="{DBC841BC-1FEF-405D-9226-B5B6ADEF50DD}" name="avr.24" dataDxfId="44"/>
    <tableColumn id="9" xr3:uid="{786ABBD5-FCC4-4393-8CCF-64F95977E7C6}" name="mai24" dataDxfId="43"/>
    <tableColumn id="10" xr3:uid="{A286FF83-A65A-45BC-8681-F23F82652D12}" name="juin24" dataDxfId="42"/>
    <tableColumn id="11" xr3:uid="{6A65FDCB-3776-42DA-ABA0-1B3A7AEB9463}" name="juil.24" dataDxfId="41"/>
    <tableColumn id="12" xr3:uid="{F760BD04-A40C-4FD7-9F9E-07482E53C4DD}" name="août24" dataDxfId="40"/>
    <tableColumn id="13" xr3:uid="{2812A89A-E3AC-4814-904A-305CDDAF6D33}" name="sept.24" dataDxfId="39"/>
    <tableColumn id="14" xr3:uid="{8C1A28E4-B68F-4845-BDDC-5117B0A52B2F}" name="oct.24" dataDxfId="38"/>
    <tableColumn id="15" xr3:uid="{E0E87274-82F6-4DE3-9F17-E62A11743DCF}" name="nov.24" dataDxfId="37"/>
    <tableColumn id="16" xr3:uid="{08E14BD8-46CF-4078-B442-FC4BA4C6FB3F}" name="déc.24" dataDxfId="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253C-11C5-4493-9357-287321BBEF02}">
  <dimension ref="A1:Q4"/>
  <sheetViews>
    <sheetView showGridLines="0" tabSelected="1" zoomScale="115" zoomScaleNormal="115" workbookViewId="0">
      <selection activeCell="D23" sqref="D23"/>
    </sheetView>
  </sheetViews>
  <sheetFormatPr baseColWidth="10" defaultRowHeight="12" x14ac:dyDescent="0.2"/>
  <cols>
    <col min="1" max="1" width="15.5" customWidth="1"/>
    <col min="3" max="3" width="47.1640625" customWidth="1"/>
    <col min="4" max="4" width="40.5" customWidth="1"/>
    <col min="20" max="20" width="16.33203125" customWidth="1"/>
    <col min="21" max="21" width="88.6640625" customWidth="1"/>
  </cols>
  <sheetData>
    <row r="1" spans="1:17" ht="13.5" x14ac:dyDescent="0.25">
      <c r="A1" s="2" t="s">
        <v>0</v>
      </c>
      <c r="B1" s="3" t="s">
        <v>37</v>
      </c>
      <c r="C1" s="3" t="s">
        <v>1</v>
      </c>
      <c r="D1" s="4" t="s">
        <v>2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</row>
    <row r="2" spans="1:17" ht="54" x14ac:dyDescent="0.2">
      <c r="A2" s="6" t="s">
        <v>3</v>
      </c>
      <c r="B2" s="7" t="s">
        <v>38</v>
      </c>
      <c r="C2" s="8" t="s">
        <v>4</v>
      </c>
      <c r="D2" s="9" t="s">
        <v>34</v>
      </c>
      <c r="E2" s="10">
        <v>151902</v>
      </c>
      <c r="F2" s="10">
        <v>50727</v>
      </c>
      <c r="G2" s="10">
        <v>175830</v>
      </c>
      <c r="H2" s="10">
        <v>172017</v>
      </c>
      <c r="I2" s="10">
        <v>210289</v>
      </c>
      <c r="J2" s="10">
        <v>169129</v>
      </c>
      <c r="K2" s="10">
        <v>28845</v>
      </c>
      <c r="L2" s="10">
        <v>39741</v>
      </c>
      <c r="M2" s="10"/>
      <c r="N2" s="10"/>
      <c r="O2" s="10"/>
      <c r="P2" s="10"/>
      <c r="Q2" s="1"/>
    </row>
    <row r="3" spans="1:17" ht="54" x14ac:dyDescent="0.2">
      <c r="A3" s="11" t="s">
        <v>32</v>
      </c>
      <c r="B3" s="12" t="s">
        <v>39</v>
      </c>
      <c r="C3" s="8" t="s">
        <v>33</v>
      </c>
      <c r="D3" s="9" t="s">
        <v>35</v>
      </c>
      <c r="E3" s="13">
        <v>5252</v>
      </c>
      <c r="F3" s="13">
        <v>7084</v>
      </c>
      <c r="G3" s="13">
        <v>7262</v>
      </c>
      <c r="H3" s="13">
        <v>5243</v>
      </c>
      <c r="I3" s="13">
        <v>4215</v>
      </c>
      <c r="J3" s="13">
        <v>3141</v>
      </c>
      <c r="K3" s="13">
        <v>1639</v>
      </c>
      <c r="Q3" s="1"/>
    </row>
    <row r="4" spans="1:17" ht="27" x14ac:dyDescent="0.2">
      <c r="A4" s="11" t="s">
        <v>29</v>
      </c>
      <c r="B4" s="12" t="s">
        <v>38</v>
      </c>
      <c r="C4" s="8" t="s">
        <v>30</v>
      </c>
      <c r="D4" s="9" t="s">
        <v>31</v>
      </c>
      <c r="E4" s="13">
        <v>1505</v>
      </c>
      <c r="F4" s="13">
        <v>1224</v>
      </c>
      <c r="G4" s="13">
        <v>1970</v>
      </c>
      <c r="H4" s="13">
        <v>1546</v>
      </c>
      <c r="I4" s="13">
        <v>1667</v>
      </c>
      <c r="J4" s="13">
        <v>1518</v>
      </c>
      <c r="K4" s="13">
        <v>825</v>
      </c>
      <c r="L4" s="13">
        <v>792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E4:L4 E2:P3" xr:uid="{A2B7FEED-18F0-4152-A24C-CA0BC5A6B90E}"/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B4EA-2107-4D20-9D8D-481D26BD316F}">
  <dimension ref="A1:P4"/>
  <sheetViews>
    <sheetView workbookViewId="0">
      <selection activeCell="C3" sqref="C3"/>
    </sheetView>
  </sheetViews>
  <sheetFormatPr baseColWidth="10" defaultRowHeight="12" x14ac:dyDescent="0.2"/>
  <cols>
    <col min="1" max="1" width="16.6640625" customWidth="1"/>
    <col min="3" max="3" width="38.33203125" customWidth="1"/>
    <col min="4" max="4" width="40.5" customWidth="1"/>
  </cols>
  <sheetData>
    <row r="1" spans="1:16" ht="13.5" x14ac:dyDescent="0.25">
      <c r="A1" s="2" t="s">
        <v>0</v>
      </c>
      <c r="B1" s="3" t="s">
        <v>37</v>
      </c>
      <c r="C1" s="2" t="s">
        <v>1</v>
      </c>
      <c r="D1" s="14" t="s">
        <v>2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</row>
    <row r="2" spans="1:16" ht="54" x14ac:dyDescent="0.2">
      <c r="A2" s="6" t="s">
        <v>3</v>
      </c>
      <c r="B2" s="7" t="s">
        <v>38</v>
      </c>
      <c r="C2" s="8" t="s">
        <v>4</v>
      </c>
      <c r="D2" s="9" t="s">
        <v>34</v>
      </c>
      <c r="E2" s="15">
        <v>148031</v>
      </c>
      <c r="F2" s="15">
        <v>57373</v>
      </c>
      <c r="G2" s="15">
        <v>134426</v>
      </c>
      <c r="H2" s="15">
        <v>107901</v>
      </c>
      <c r="I2" s="15">
        <v>173573</v>
      </c>
      <c r="J2" s="15">
        <v>148336</v>
      </c>
      <c r="K2" s="15">
        <v>30661</v>
      </c>
      <c r="L2" s="15">
        <v>53610</v>
      </c>
      <c r="M2" s="15">
        <v>101592</v>
      </c>
      <c r="N2" s="15">
        <v>153372</v>
      </c>
      <c r="O2" s="15">
        <v>164814</v>
      </c>
      <c r="P2" s="15">
        <v>148897</v>
      </c>
    </row>
    <row r="3" spans="1:16" ht="54" x14ac:dyDescent="0.2">
      <c r="A3" s="11" t="s">
        <v>32</v>
      </c>
      <c r="B3" s="12" t="s">
        <v>39</v>
      </c>
      <c r="C3" s="16" t="s">
        <v>33</v>
      </c>
      <c r="D3" s="9" t="s">
        <v>35</v>
      </c>
      <c r="E3" s="18">
        <v>4946</v>
      </c>
      <c r="F3" s="18">
        <v>8369</v>
      </c>
      <c r="G3" s="18">
        <v>8414</v>
      </c>
      <c r="H3" s="18">
        <v>6173</v>
      </c>
      <c r="I3" s="18">
        <v>5662</v>
      </c>
      <c r="J3" s="18">
        <v>3943</v>
      </c>
      <c r="K3" s="18">
        <v>4367</v>
      </c>
      <c r="L3" s="18">
        <v>3866</v>
      </c>
      <c r="M3" s="18">
        <v>10765</v>
      </c>
      <c r="N3" s="18">
        <v>8073</v>
      </c>
      <c r="O3" s="18">
        <v>5748</v>
      </c>
      <c r="P3" s="18">
        <v>3919</v>
      </c>
    </row>
    <row r="4" spans="1:16" ht="27" x14ac:dyDescent="0.2">
      <c r="A4" s="11" t="s">
        <v>29</v>
      </c>
      <c r="B4" s="12" t="s">
        <v>38</v>
      </c>
      <c r="C4" s="16" t="s">
        <v>30</v>
      </c>
      <c r="D4" s="17" t="s">
        <v>31</v>
      </c>
      <c r="E4" s="18">
        <v>1121</v>
      </c>
      <c r="F4" s="18">
        <v>1082</v>
      </c>
      <c r="G4" s="18">
        <v>1417</v>
      </c>
      <c r="H4" s="18">
        <v>1287</v>
      </c>
      <c r="I4" s="18">
        <v>1409</v>
      </c>
      <c r="J4" s="18">
        <v>1154</v>
      </c>
      <c r="K4" s="18">
        <v>580</v>
      </c>
      <c r="L4" s="18">
        <v>541</v>
      </c>
      <c r="M4" s="18">
        <v>1994</v>
      </c>
      <c r="N4" s="18">
        <v>2038</v>
      </c>
      <c r="O4" s="18">
        <v>1934</v>
      </c>
      <c r="P4" s="18">
        <v>1593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E2:P4" xr:uid="{1F8B4CAB-1D24-4EAF-B6C0-C3884013A711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1882-7C47-4421-9126-219295E45FCE}">
  <dimension ref="A1:P4"/>
  <sheetViews>
    <sheetView workbookViewId="0">
      <selection activeCell="E3" sqref="E3"/>
    </sheetView>
  </sheetViews>
  <sheetFormatPr baseColWidth="10" defaultRowHeight="12" x14ac:dyDescent="0.2"/>
  <cols>
    <col min="1" max="1" width="16.6640625" customWidth="1"/>
    <col min="3" max="3" width="28.33203125" customWidth="1"/>
    <col min="4" max="4" width="44.6640625" customWidth="1"/>
  </cols>
  <sheetData>
    <row r="1" spans="1:16" ht="13.5" x14ac:dyDescent="0.25">
      <c r="A1" s="2" t="s">
        <v>0</v>
      </c>
      <c r="B1" s="3" t="s">
        <v>37</v>
      </c>
      <c r="C1" s="2" t="s">
        <v>1</v>
      </c>
      <c r="D1" s="14" t="s">
        <v>2</v>
      </c>
      <c r="E1" s="19" t="s">
        <v>17</v>
      </c>
      <c r="F1" s="19" t="s">
        <v>18</v>
      </c>
      <c r="G1" s="19" t="s">
        <v>19</v>
      </c>
      <c r="H1" s="19" t="s">
        <v>20</v>
      </c>
      <c r="I1" s="19" t="s">
        <v>21</v>
      </c>
      <c r="J1" s="19" t="s">
        <v>22</v>
      </c>
      <c r="K1" s="19" t="s">
        <v>23</v>
      </c>
      <c r="L1" s="19" t="s">
        <v>24</v>
      </c>
      <c r="M1" s="19" t="s">
        <v>25</v>
      </c>
      <c r="N1" s="19" t="s">
        <v>26</v>
      </c>
      <c r="O1" s="19" t="s">
        <v>27</v>
      </c>
      <c r="P1" s="19" t="s">
        <v>28</v>
      </c>
    </row>
    <row r="2" spans="1:16" ht="40.5" x14ac:dyDescent="0.2">
      <c r="A2" s="6" t="s">
        <v>3</v>
      </c>
      <c r="B2" s="7" t="s">
        <v>38</v>
      </c>
      <c r="C2" s="8" t="s">
        <v>4</v>
      </c>
      <c r="D2" s="9" t="s">
        <v>34</v>
      </c>
      <c r="E2" s="15">
        <v>154483</v>
      </c>
      <c r="F2" s="15">
        <v>54995</v>
      </c>
      <c r="G2" s="15">
        <v>121504</v>
      </c>
      <c r="H2" s="15">
        <v>141282</v>
      </c>
      <c r="I2" s="15">
        <v>166846</v>
      </c>
      <c r="J2" s="15">
        <v>142138</v>
      </c>
      <c r="K2" s="15">
        <v>34149</v>
      </c>
      <c r="L2" s="15">
        <v>42282</v>
      </c>
      <c r="M2" s="15">
        <v>102435</v>
      </c>
      <c r="N2" s="15">
        <v>152519</v>
      </c>
      <c r="O2" s="15">
        <v>162715</v>
      </c>
      <c r="P2" s="15">
        <v>146319</v>
      </c>
    </row>
    <row r="3" spans="1:16" ht="67.5" x14ac:dyDescent="0.2">
      <c r="A3" s="11" t="s">
        <v>32</v>
      </c>
      <c r="B3" s="12" t="s">
        <v>39</v>
      </c>
      <c r="C3" s="16" t="s">
        <v>33</v>
      </c>
      <c r="D3" s="17" t="s">
        <v>36</v>
      </c>
      <c r="E3" s="18">
        <v>7141</v>
      </c>
      <c r="F3" s="18">
        <v>10092</v>
      </c>
      <c r="G3" s="18">
        <v>9614</v>
      </c>
      <c r="H3" s="18">
        <v>8486</v>
      </c>
      <c r="I3" s="18">
        <v>7189</v>
      </c>
      <c r="J3" s="18">
        <v>5842</v>
      </c>
      <c r="K3" s="18">
        <v>5050</v>
      </c>
      <c r="L3" s="18">
        <v>4021</v>
      </c>
      <c r="M3" s="18">
        <v>11078</v>
      </c>
      <c r="N3" s="18">
        <v>9763</v>
      </c>
      <c r="O3" s="18">
        <v>7972</v>
      </c>
      <c r="P3" s="18">
        <v>5172</v>
      </c>
    </row>
    <row r="4" spans="1:16" ht="40.5" x14ac:dyDescent="0.2">
      <c r="A4" s="11" t="s">
        <v>29</v>
      </c>
      <c r="B4" s="12" t="s">
        <v>38</v>
      </c>
      <c r="C4" s="16" t="s">
        <v>30</v>
      </c>
      <c r="D4" s="17" t="s">
        <v>31</v>
      </c>
      <c r="E4" s="18">
        <v>1308</v>
      </c>
      <c r="F4" s="18">
        <v>1140</v>
      </c>
      <c r="G4" s="18">
        <v>1242</v>
      </c>
      <c r="H4" s="18">
        <v>1386</v>
      </c>
      <c r="I4" s="18">
        <v>1259</v>
      </c>
      <c r="J4" s="18">
        <v>1119</v>
      </c>
      <c r="K4" s="18">
        <v>667</v>
      </c>
      <c r="L4" s="18">
        <v>562</v>
      </c>
      <c r="M4" s="18">
        <v>1479</v>
      </c>
      <c r="N4" s="18">
        <v>1723</v>
      </c>
      <c r="O4" s="18">
        <v>1622</v>
      </c>
      <c r="P4" s="18">
        <v>1141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E2:P4" xr:uid="{B9CC19CD-DC64-4957-BC23-69BADB64F915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USEP_2026</vt:lpstr>
      <vt:lpstr>USEP_2025</vt:lpstr>
      <vt:lpstr>USEP_2024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2026-10-14T12:08:22Z</dcterms:modified>
</cp:coreProperties>
</file>