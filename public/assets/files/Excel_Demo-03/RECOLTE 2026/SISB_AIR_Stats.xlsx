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genevieve_guex_epfl_ch/Documents/Documents/SISB_Presentations/SISB-Apero-Slidev/public/assets/files/Excel_Demo-03/RECOLTE 2026/"/>
    </mc:Choice>
  </mc:AlternateContent>
  <xr:revisionPtr revIDLastSave="134" documentId="8_{8042A220-94CC-4E74-8A82-0B5E7819329D}" xr6:coauthVersionLast="47" xr6:coauthVersionMax="47" xr10:uidLastSave="{115A568E-5304-42A9-B304-FAAD14462EA8}"/>
  <bookViews>
    <workbookView xWindow="-120" yWindow="-120" windowWidth="51840" windowHeight="21120" activeTab="4" xr2:uid="{537DF2C6-54A6-4649-8875-CD01F068054D}"/>
  </bookViews>
  <sheets>
    <sheet name="AIR_2026" sheetId="3" r:id="rId1"/>
    <sheet name="AIR_2025" sheetId="5" r:id="rId2"/>
    <sheet name="AIR_2024" sheetId="6" r:id="rId3"/>
    <sheet name="AIR_2023" sheetId="7" r:id="rId4"/>
    <sheet name="AIR_2022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<sst xmlns="http://schemas.openxmlformats.org/spreadsheetml/2006/main" count="120" uniqueCount="72">
  <si>
    <t>N° Indicateur</t>
  </si>
  <si>
    <t>Indicateur</t>
  </si>
  <si>
    <t>Descriptif indicateur</t>
  </si>
  <si>
    <t>janv.26</t>
  </si>
  <si>
    <t>févr.26</t>
  </si>
  <si>
    <t>mars26</t>
  </si>
  <si>
    <t>avr.26</t>
  </si>
  <si>
    <t>mai26</t>
  </si>
  <si>
    <t>juin26</t>
  </si>
  <si>
    <t>juil.26</t>
  </si>
  <si>
    <t>août26</t>
  </si>
  <si>
    <t>sept.26</t>
  </si>
  <si>
    <t>oct.26</t>
  </si>
  <si>
    <t>nov.26</t>
  </si>
  <si>
    <t>déc.26</t>
  </si>
  <si>
    <t>USE_110</t>
  </si>
  <si>
    <t>Usage : Recherches dans le catalogue (nombre)</t>
  </si>
  <si>
    <t>USX_011</t>
  </si>
  <si>
    <t>Usagers : Utilisateur·trices nouvellement inscrit·es (nombre)</t>
  </si>
  <si>
    <t>Nombre de recherches dans le catalogue BEAST et version SLSP de Primo VE;
toutes vues confondues</t>
  </si>
  <si>
    <t xml:space="preserve">Nombre de nouveaux usagers inscrits dans IZ EPFL;
inclus: personnes membres de la communaté epfl (étudiants et collaborateurs)
</t>
  </si>
  <si>
    <t>Service à la recherche : Nouvelles notices avec full text sur Infoscience (nombre)</t>
  </si>
  <si>
    <t>SER_351</t>
  </si>
  <si>
    <t>Nombre de nouvelles notices avec full text durant le mois;
inclus: full texts OA quand disponibles sur Unpaywall et
full texts OA lors de la curation, si récupération auto Unpaywall impossible</t>
  </si>
  <si>
    <t>janv.22</t>
  </si>
  <si>
    <t>févr.22</t>
  </si>
  <si>
    <t>mars.22</t>
  </si>
  <si>
    <t>avr.22</t>
  </si>
  <si>
    <t>mai.22</t>
  </si>
  <si>
    <t>juin.22</t>
  </si>
  <si>
    <t>juil.22</t>
  </si>
  <si>
    <t>août.22</t>
  </si>
  <si>
    <t>sept.22</t>
  </si>
  <si>
    <t>oct.22</t>
  </si>
  <si>
    <t>nov.22</t>
  </si>
  <si>
    <t>déc.22</t>
  </si>
  <si>
    <t>janv.23</t>
  </si>
  <si>
    <t>févr.23</t>
  </si>
  <si>
    <t>mars.23</t>
  </si>
  <si>
    <t>avr.23</t>
  </si>
  <si>
    <t>mai.23</t>
  </si>
  <si>
    <t>juin.23</t>
  </si>
  <si>
    <t>juil.23</t>
  </si>
  <si>
    <t>août.23</t>
  </si>
  <si>
    <t>sept.23</t>
  </si>
  <si>
    <t>oct.23</t>
  </si>
  <si>
    <t>nov.23</t>
  </si>
  <si>
    <t>déc.23</t>
  </si>
  <si>
    <t>janv.24</t>
  </si>
  <si>
    <t>févr.24</t>
  </si>
  <si>
    <t>mars.24</t>
  </si>
  <si>
    <t>avr.24</t>
  </si>
  <si>
    <t>mai.24</t>
  </si>
  <si>
    <t>juin.24</t>
  </si>
  <si>
    <t>juil.24</t>
  </si>
  <si>
    <t>août.24</t>
  </si>
  <si>
    <t>sept.24</t>
  </si>
  <si>
    <t>oct.24</t>
  </si>
  <si>
    <t>nov.24</t>
  </si>
  <si>
    <t>déc.24</t>
  </si>
  <si>
    <t>janv.25</t>
  </si>
  <si>
    <t>févr.25</t>
  </si>
  <si>
    <t>mars.25</t>
  </si>
  <si>
    <t>avr.25</t>
  </si>
  <si>
    <t>mai.25</t>
  </si>
  <si>
    <t>juin.25</t>
  </si>
  <si>
    <t>juil.25</t>
  </si>
  <si>
    <t>août.25</t>
  </si>
  <si>
    <t>sept.25</t>
  </si>
  <si>
    <t>oct.25</t>
  </si>
  <si>
    <t>nov.25</t>
  </si>
  <si>
    <t>déc.25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</si>
</sst>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9"/>
      <color theme="1"/>
      <name val="Aptos"/>
      <family val="2"/>
    </font>
    <font>
      <sz val="9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  <font>
      <sz val="10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164" fontId="5" fillId="0" borderId="6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/>
    </xf>
    <xf numFmtId="164" fontId="4" fillId="0" borderId="6" xfId="1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top" wrapText="1"/>
    </xf>
    <xf numFmtId="164" fontId="4" fillId="0" borderId="2" xfId="1" applyNumberFormat="1" applyFont="1" applyFill="1" applyBorder="1" applyAlignment="1">
      <alignment horizontal="center" vertical="center" wrapText="1"/>
    </xf>
    <xf numFmtId="164" fontId="4" fillId="0" borderId="5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164" fontId="5" fillId="0" borderId="0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164" fontId="4" fillId="0" borderId="0" xfId="1" applyNumberFormat="1" applyFont="1" applyFill="1" applyBorder="1" applyAlignment="1">
      <alignment horizontal="center" vertical="center" wrapText="1"/>
    </xf>
    <xf numFmtId="164" fontId="4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top" wrapText="1"/>
    </xf>
    <xf numFmtId="0" fontId="3" fillId="0" borderId="8" xfId="2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17" fontId="3" fillId="0" borderId="8" xfId="2" applyNumberFormat="1" applyFont="1" applyBorder="1" applyAlignment="1">
      <alignment horizontal="center" vertical="center" wrapText="1"/>
    </xf>
    <xf numFmtId="17" fontId="3" fillId="0" borderId="9" xfId="2" applyNumberFormat="1" applyFont="1" applyBorder="1" applyAlignment="1">
      <alignment horizontal="center" vertical="center" wrapText="1"/>
    </xf>
    <xf numFmtId="0" fontId="3" fillId="0" borderId="0" xfId="2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7" fontId="3" fillId="0" borderId="0" xfId="2" applyNumberFormat="1" applyFont="1" applyAlignment="1">
      <alignment horizontal="center" vertical="center" wrapText="1"/>
    </xf>
    <xf numFmtId="49" fontId="3" fillId="0" borderId="0" xfId="2" applyNumberFormat="1" applyFont="1" applyAlignment="1">
      <alignment horizontal="center" vertical="center" wrapText="1"/>
    </xf>
  </cellXfs>
  <cellStyles count="3">
    <cellStyle name="Milliers" xfId="1" builtinId="3"/>
    <cellStyle name="Normal" xfId="0" builtinId="0"/>
    <cellStyle name="Normal 2" xfId="2" xr:uid="{D0C2D436-22CC-4622-BFAB-EE73B1162312}"/>
  </cellStyles>
  <dxfs count="87"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22" formatCode="mmm/yy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4D0F7D-AE53-49A2-BFB5-362FC2EC51B4}" name="TBL_AIR_2026" displayName="TBL_AIR_2026" ref="A1:O4" totalsRowShown="0" headerRowDxfId="86" dataDxfId="85" headerRowCellStyle="Normal 2">
  <autoFilter ref="A1:O4" xr:uid="{F24D0F7D-AE53-49A2-BFB5-362FC2EC51B4}"/>
  <tableColumns count="15">
    <tableColumn id="1" xr3:uid="{49E20AED-5E46-4F47-82C2-5EB651C934E0}" name="N° Indicateur" dataDxfId="84"/>
    <tableColumn id="2" xr3:uid="{1EFA5DD0-A016-4DED-B05E-29F0ED0E7AEF}" name="Indicateur" dataDxfId="83"/>
    <tableColumn id="3" xr3:uid="{8305E006-18DD-4794-8B8D-E4BE408A5D30}" name="Descriptif indicateur" dataDxfId="82"/>
    <tableColumn id="4" xr3:uid="{55D3520A-084B-4891-814E-9154DBA876BF}" name="janv.26" dataDxfId="81"/>
    <tableColumn id="5" xr3:uid="{85144CAF-A0C9-4E4A-88AE-F74DEA817398}" name="févr.26" dataDxfId="80"/>
    <tableColumn id="6" xr3:uid="{AEA8C25B-35B7-4017-8260-C949712FEEB5}" name="mars26" dataDxfId="79"/>
    <tableColumn id="7" xr3:uid="{0685B580-3620-49E2-8BB6-DA6C35A2BC6A}" name="avr.26" dataDxfId="78"/>
    <tableColumn id="8" xr3:uid="{0C289A29-FCB8-4C81-A5CD-4F0E79474137}" name="mai26" dataDxfId="77"/>
    <tableColumn id="9" xr3:uid="{552372D1-30C9-40C3-8671-3C0D6C99F2AE}" name="juin26" dataDxfId="76"/>
    <tableColumn id="10" xr3:uid="{E9B92921-E147-47C4-BF36-6C2824917ED2}" name="juil.26" dataDxfId="75"/>
    <tableColumn id="11" xr3:uid="{0AB3F83A-CD83-4D12-9B62-04E377D14663}" name="août26" dataDxfId="74"/>
    <tableColumn id="12" xr3:uid="{1552BAFA-DD8B-48AD-98AA-5D2984D57B55}" name="sept.26" dataDxfId="73"/>
    <tableColumn id="13" xr3:uid="{F1520621-0E65-4E94-BABE-C74CAE3752A4}" name="oct.26" dataDxfId="72"/>
    <tableColumn id="14" xr3:uid="{AED60233-F2EA-49EF-B588-001B67FF0C74}" name="nov.26" dataDxfId="71"/>
    <tableColumn id="15" xr3:uid="{C09762A0-ADBC-4421-9A43-1DF43DE95CC6}" name="déc.26" dataDxfId="7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02C35C-6A26-4AAC-9990-F05F4FEBB300}" name="TBL_AIR_2025" displayName="TBL_AIR_2025" ref="A1:O4" totalsRowShown="0" headerRowDxfId="69" dataDxfId="68" headerRowCellStyle="Normal 2">
  <autoFilter ref="A1:O4" xr:uid="{4F02C35C-6A26-4AAC-9990-F05F4FEBB300}"/>
  <tableColumns count="15">
    <tableColumn id="1" xr3:uid="{036A6BE1-084E-483F-96F7-E0D3BA17941D}" name="N° Indicateur" dataDxfId="67"/>
    <tableColumn id="2" xr3:uid="{6D3DAA7B-FBB8-49E9-B277-5CB8C34F36D8}" name="Indicateur" dataDxfId="66"/>
    <tableColumn id="3" xr3:uid="{8415F36E-0EDD-4EC9-A1E7-2BE877C7CEBC}" name="Descriptif indicateur" dataDxfId="65"/>
    <tableColumn id="4" xr3:uid="{D12F04E8-1CFB-4796-8E71-78FCC57AB256}" name="janv.25" dataDxfId="64"/>
    <tableColumn id="5" xr3:uid="{0E110577-4611-4AE2-BB7F-A4A157FB877C}" name="févr.25" dataDxfId="63"/>
    <tableColumn id="6" xr3:uid="{5DC4D383-8C32-4535-A9CA-A5EF3D62E545}" name="mars.25" dataDxfId="62"/>
    <tableColumn id="7" xr3:uid="{FBEF7D91-B4B1-4AE0-B7E1-7CD41770F987}" name="avr.25" dataDxfId="61"/>
    <tableColumn id="8" xr3:uid="{E26314F5-9C08-4E12-9776-6924965B5D95}" name="mai.25" dataDxfId="60"/>
    <tableColumn id="9" xr3:uid="{A4563B4B-4A98-4829-9495-7474C2CC0046}" name="juin.25" dataDxfId="59"/>
    <tableColumn id="10" xr3:uid="{6812629F-8EC6-4943-B8AA-3BB7EC822E53}" name="juil.25" dataDxfId="58"/>
    <tableColumn id="11" xr3:uid="{223D989B-4180-4843-9BE5-A82979711D0E}" name="août.25" dataDxfId="57"/>
    <tableColumn id="12" xr3:uid="{CCC3B82D-C6DD-4B30-BA76-90ED0398502D}" name="sept.25" dataDxfId="56"/>
    <tableColumn id="13" xr3:uid="{14E4A33B-9BFA-4265-9B4F-DB7112415759}" name="oct.25" dataDxfId="55"/>
    <tableColumn id="14" xr3:uid="{130870DF-8E9A-4ECF-ACB9-81BF9F23A2A3}" name="nov.25" dataDxfId="54"/>
    <tableColumn id="15" xr3:uid="{A668CDB8-F8B1-4772-BC0B-61BCD2A0223D}" name="déc.25" dataDxfId="5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71D337-DD8F-4033-A499-0F078B737D9D}" name="TBL_AIR_2024" displayName="TBL_AIR_2024" ref="A1:O4" totalsRowShown="0" headerRowDxfId="52" dataDxfId="51" tableBorderDxfId="50" headerRowCellStyle="Normal 2">
  <autoFilter ref="A1:O4" xr:uid="{1B71D337-DD8F-4033-A499-0F078B737D9D}"/>
  <tableColumns count="15">
    <tableColumn id="1" xr3:uid="{19262AA4-83C7-4DB9-A426-E89C46B30A71}" name="N° Indicateur" dataDxfId="49"/>
    <tableColumn id="2" xr3:uid="{1939E7BB-C23B-4F69-AAA8-34ED2EB3BD64}" name="Indicateur" dataDxfId="48"/>
    <tableColumn id="3" xr3:uid="{588D3D3C-48AC-4C74-8BD3-1A173B8FF1C3}" name="Descriptif indicateur" dataDxfId="47"/>
    <tableColumn id="4" xr3:uid="{BB98644F-01FF-4448-9B1E-326DE73500F2}" name="janv.24" dataDxfId="46"/>
    <tableColumn id="5" xr3:uid="{D42811AD-0CA2-4F70-9738-7717E11C8580}" name="févr.24" dataDxfId="45"/>
    <tableColumn id="6" xr3:uid="{AC05C2EB-BA3C-4351-9A8B-6D7E3C771BA3}" name="mars.24" dataDxfId="44"/>
    <tableColumn id="7" xr3:uid="{5BA61A1B-03E5-4E53-81A1-67B52DF052F6}" name="avr.24" dataDxfId="43"/>
    <tableColumn id="8" xr3:uid="{8EBC6A09-80E9-4E28-A82B-AC0E4A6ADE4A}" name="mai.24" dataDxfId="42"/>
    <tableColumn id="9" xr3:uid="{5028F92B-5BB6-4F69-A009-637F07D55F9E}" name="juin.24" dataDxfId="41"/>
    <tableColumn id="10" xr3:uid="{3BAB1D53-C38E-4C7D-9D86-E00E6B282B32}" name="juil.24" dataDxfId="40"/>
    <tableColumn id="11" xr3:uid="{A481DC4F-92F6-4582-9CF8-F68F8F9C2012}" name="août.24" dataDxfId="39"/>
    <tableColumn id="12" xr3:uid="{84D05DED-0718-4EAB-B72B-545BCD8E3B4C}" name="sept.24" dataDxfId="38"/>
    <tableColumn id="13" xr3:uid="{1AE7BD81-96F1-4AD8-99A3-1BFCA54A613A}" name="oct.24" dataDxfId="37"/>
    <tableColumn id="14" xr3:uid="{66A064A3-9361-4450-8B1A-B1059F60D110}" name="nov.24" dataDxfId="36"/>
    <tableColumn id="15" xr3:uid="{E67EC825-D626-42C2-A2D4-6F70B4B0A7C5}" name="déc.24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3A1784-23FF-42D1-8152-FAD61CF2F3BD}" name="TBL_AIR_2023" displayName="TBL_AIR_2023" ref="A1:O4" totalsRowShown="0" headerRowDxfId="34" dataDxfId="33" headerRowCellStyle="Normal 2">
  <autoFilter ref="A1:O4" xr:uid="{AA3A1784-23FF-42D1-8152-FAD61CF2F3BD}"/>
  <tableColumns count="15">
    <tableColumn id="1" xr3:uid="{3CB56F63-9EFA-45AD-A847-0587B39CB079}" name="N° Indicateur" dataDxfId="32"/>
    <tableColumn id="2" xr3:uid="{C03E4EEE-E57C-48EC-B60E-A2136119EC1B}" name="Indicateur" dataDxfId="31"/>
    <tableColumn id="3" xr3:uid="{F1E93DDB-DE05-4B10-8753-87493DAC715A}" name="Descriptif indicateur" dataDxfId="30"/>
    <tableColumn id="4" xr3:uid="{F5266E4E-1D3C-46E8-99F0-C23ECECBB0D2}" name="janv.23" dataDxfId="29"/>
    <tableColumn id="5" xr3:uid="{56F028A6-1614-441E-A78A-985A9C80C183}" name="févr.23" dataDxfId="28"/>
    <tableColumn id="6" xr3:uid="{BBD8F875-7255-4288-86F7-056F2F7022E4}" name="mars.23" dataDxfId="27"/>
    <tableColumn id="7" xr3:uid="{C7FD8B9F-6915-4C0C-AF76-9425C7E3C53A}" name="avr.23" dataDxfId="26"/>
    <tableColumn id="8" xr3:uid="{7F1729DB-B7E5-42F4-82A8-0CDE871F7ABE}" name="mai.23" dataDxfId="25"/>
    <tableColumn id="9" xr3:uid="{39EBD215-C0A2-4AE7-9352-B7C48705D725}" name="juin.23" dataDxfId="24"/>
    <tableColumn id="10" xr3:uid="{2A281D6D-62B8-4B40-8D9F-72FF21119416}" name="juil.23" dataDxfId="23"/>
    <tableColumn id="11" xr3:uid="{A1A55D0E-CA1A-4BE7-939E-FCCC12A29B01}" name="août.23" dataDxfId="22"/>
    <tableColumn id="12" xr3:uid="{B59706F0-721D-4DD0-B379-4E16AD91B3FF}" name="sept.23" dataDxfId="21"/>
    <tableColumn id="13" xr3:uid="{D6B33932-7CA2-4FE1-99F6-C36B1579BC9F}" name="oct.23" dataDxfId="20"/>
    <tableColumn id="14" xr3:uid="{98A2F732-B065-44E6-818F-A16F6C3381C4}" name="nov.23" dataDxfId="19"/>
    <tableColumn id="15" xr3:uid="{5A690894-50A9-44F7-9935-635082AAE843}" name="déc.23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204C4C-5B5B-4655-AB58-5D10AB1AEBA9}" name="TBL_AIR_2022" displayName="TBL_AIR_2022" ref="A1:O4" totalsRowShown="0" headerRowDxfId="17" dataDxfId="16" tableBorderDxfId="15" headerRowCellStyle="Normal 2">
  <autoFilter ref="A1:O4" xr:uid="{2D204C4C-5B5B-4655-AB58-5D10AB1AEBA9}"/>
  <tableColumns count="15">
    <tableColumn id="1" xr3:uid="{439783EC-D6B5-448B-8A4C-9B155CC60342}" name="N° Indicateur" dataDxfId="14"/>
    <tableColumn id="2" xr3:uid="{F5DA92F7-F171-489E-9424-A82C64850997}" name="Indicateur" dataDxfId="13"/>
    <tableColumn id="3" xr3:uid="{955FE781-5CCB-485F-A046-1AA09004C5BD}" name="Descriptif indicateur" dataDxfId="12"/>
    <tableColumn id="4" xr3:uid="{8CFB222B-7966-49A2-B0D7-E181C41B4918}" name="janv.22" dataDxfId="11"/>
    <tableColumn id="5" xr3:uid="{DB4559CB-6094-4672-A4D9-563B55E1B73B}" name="févr.22" dataDxfId="10"/>
    <tableColumn id="6" xr3:uid="{C47BB86F-1B28-479A-A1B7-4391D68BDDD8}" name="mars.22" dataDxfId="9"/>
    <tableColumn id="7" xr3:uid="{5FB0989D-DC1C-4DAB-82AE-93C51EAA53DE}" name="avr.22" dataDxfId="8"/>
    <tableColumn id="8" xr3:uid="{980F14BB-E606-4104-BF48-6250AE5D8F19}" name="mai.22" dataDxfId="7"/>
    <tableColumn id="9" xr3:uid="{E739E430-9D1B-4939-A08D-64884AF8CD2D}" name="juin.22" dataDxfId="6"/>
    <tableColumn id="10" xr3:uid="{EF40F1CA-E440-4A42-A30E-2F9F53B13AD5}" name="juil.22" dataDxfId="5"/>
    <tableColumn id="11" xr3:uid="{96A48139-9D52-41F3-AE6F-8F729C13D334}" name="août.22" dataDxfId="4"/>
    <tableColumn id="12" xr3:uid="{A33456B7-37D0-49B1-B670-FFA833C5A1C0}" name="sept.22" dataDxfId="3"/>
    <tableColumn id="13" xr3:uid="{A36CD198-F3E3-4BAB-9E52-285F18D00986}" name="oct.22" dataDxfId="2"/>
    <tableColumn id="14" xr3:uid="{6D8F3850-0944-4F97-8D2E-09492D93A147}" name="nov.22" dataDxfId="1"/>
    <tableColumn id="15" xr3:uid="{5C0F55E1-6B2C-4081-B0C8-3D0F331A6578}" name="déc.2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GGU-EPFL">
  <a:themeElements>
    <a:clrScheme name="GGU-SISB-Viridis-Rocket">
      <a:dk1>
        <a:sysClr val="windowText" lastClr="000000"/>
      </a:dk1>
      <a:lt1>
        <a:sysClr val="window" lastClr="FFFFFF"/>
      </a:lt1>
      <a:dk2>
        <a:srgbClr val="1F1128"/>
      </a:dk2>
      <a:lt2>
        <a:srgbClr val="E8E8E8"/>
      </a:lt2>
      <a:accent1>
        <a:srgbClr val="40163D"/>
      </a:accent1>
      <a:accent2>
        <a:srgbClr val="6B1748"/>
      </a:accent2>
      <a:accent3>
        <a:srgbClr val="9D1A47"/>
      </a:accent3>
      <a:accent4>
        <a:srgbClr val="CA2B3B"/>
      </a:accent4>
      <a:accent5>
        <a:srgbClr val="E8845C"/>
      </a:accent5>
      <a:accent6>
        <a:srgbClr val="EDB490"/>
      </a:accent6>
      <a:hlink>
        <a:srgbClr val="E0533B"/>
      </a:hlink>
      <a:folHlink>
        <a:srgbClr val="911F6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9AE7-1086-4EC5-97AD-92E1DE7F4237}">
  <dimension ref="A1:O4"/>
  <sheetViews>
    <sheetView workbookViewId="0">
      <selection activeCell="D4" sqref="D4"/>
    </sheetView>
  </sheetViews>
  <sheetFormatPr baseColWidth="10" defaultRowHeight="12" x14ac:dyDescent="0.2"/>
  <cols>
    <col min="1" max="1" width="16.6640625" customWidth="1"/>
    <col min="2" max="2" width="40.5" customWidth="1"/>
    <col min="3" max="3" width="62.5" customWidth="1"/>
  </cols>
  <sheetData>
    <row r="1" spans="1:15" ht="13.5" x14ac:dyDescent="0.2">
      <c r="A1" s="33" t="s">
        <v>0</v>
      </c>
      <c r="B1" s="33" t="s">
        <v>1</v>
      </c>
      <c r="C1" s="34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</row>
    <row r="2" spans="1:15" ht="40.5" x14ac:dyDescent="0.2">
      <c r="A2" s="16" t="s">
        <v>15</v>
      </c>
      <c r="B2" s="17" t="s">
        <v>16</v>
      </c>
      <c r="C2" s="18" t="s">
        <v>19</v>
      </c>
      <c r="D2" s="19">
        <v>17198</v>
      </c>
      <c r="E2" s="19">
        <v>20623</v>
      </c>
      <c r="F2" s="19">
        <v>22360</v>
      </c>
      <c r="G2" s="19">
        <v>18847</v>
      </c>
      <c r="H2" s="19">
        <v>17366</v>
      </c>
      <c r="I2" s="19">
        <v>15334</v>
      </c>
      <c r="J2" s="19">
        <v>11427</v>
      </c>
      <c r="K2" s="19"/>
      <c r="L2" s="19"/>
      <c r="M2" s="19"/>
      <c r="N2" s="19"/>
      <c r="O2" s="19"/>
    </row>
    <row r="3" spans="1:15" ht="54" x14ac:dyDescent="0.2">
      <c r="A3" s="16" t="s">
        <v>17</v>
      </c>
      <c r="B3" s="20" t="s">
        <v>18</v>
      </c>
      <c r="C3" s="21" t="s">
        <v>20</v>
      </c>
      <c r="D3" s="22">
        <v>88</v>
      </c>
      <c r="E3" s="22">
        <v>131</v>
      </c>
      <c r="F3" s="22">
        <v>144</v>
      </c>
      <c r="G3" s="22">
        <v>77</v>
      </c>
      <c r="H3" s="22">
        <v>85</v>
      </c>
      <c r="I3" s="22">
        <v>75</v>
      </c>
      <c r="J3" s="23">
        <v>65</v>
      </c>
      <c r="K3" s="23"/>
      <c r="L3" s="23"/>
      <c r="M3" s="23"/>
      <c r="N3" s="23"/>
      <c r="O3" s="23"/>
    </row>
    <row r="4" spans="1:15" ht="54" x14ac:dyDescent="0.2">
      <c r="A4" s="16" t="s">
        <v>22</v>
      </c>
      <c r="B4" s="20" t="s">
        <v>21</v>
      </c>
      <c r="C4" s="21" t="s">
        <v>23</v>
      </c>
      <c r="D4" s="22">
        <v>574</v>
      </c>
      <c r="E4" s="22">
        <v>725</v>
      </c>
      <c r="F4" s="22"/>
      <c r="G4" s="22"/>
      <c r="H4" s="22"/>
      <c r="I4" s="22"/>
      <c r="J4" s="22"/>
      <c r="K4" s="22"/>
      <c r="L4" s="22"/>
      <c r="M4" s="22"/>
      <c r="N4" s="22"/>
      <c r="O4" s="22"/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B2:O4" xr:uid="{6EC32E58-9E7F-45A0-A10F-0C9C616EB5E1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C9E1-CBF4-4779-9953-E30C3A69F46B}">
  <dimension ref="A1:O4"/>
  <sheetViews>
    <sheetView workbookViewId="0">
      <selection activeCell="B4" sqref="B4"/>
    </sheetView>
  </sheetViews>
  <sheetFormatPr baseColWidth="10" defaultRowHeight="12" x14ac:dyDescent="0.2"/>
  <cols>
    <col min="1" max="1" width="16.6640625" customWidth="1"/>
    <col min="2" max="2" width="40.5" customWidth="1"/>
    <col min="3" max="3" width="62.5" customWidth="1"/>
  </cols>
  <sheetData>
    <row r="1" spans="1:15" ht="13.5" x14ac:dyDescent="0.2">
      <c r="A1" s="33" t="s">
        <v>0</v>
      </c>
      <c r="B1" s="33" t="s">
        <v>1</v>
      </c>
      <c r="C1" s="34" t="s">
        <v>2</v>
      </c>
      <c r="D1" s="35" t="s">
        <v>60</v>
      </c>
      <c r="E1" s="35" t="s">
        <v>61</v>
      </c>
      <c r="F1" s="35" t="s">
        <v>62</v>
      </c>
      <c r="G1" s="35" t="s">
        <v>63</v>
      </c>
      <c r="H1" s="35" t="s">
        <v>64</v>
      </c>
      <c r="I1" s="35" t="s">
        <v>65</v>
      </c>
      <c r="J1" s="35" t="s">
        <v>66</v>
      </c>
      <c r="K1" s="35" t="s">
        <v>67</v>
      </c>
      <c r="L1" s="35" t="s">
        <v>68</v>
      </c>
      <c r="M1" s="35" t="s">
        <v>69</v>
      </c>
      <c r="N1" s="35" t="s">
        <v>70</v>
      </c>
      <c r="O1" s="35" t="s">
        <v>71</v>
      </c>
    </row>
    <row r="2" spans="1:15" ht="40.5" x14ac:dyDescent="0.2">
      <c r="A2" s="16" t="s">
        <v>15</v>
      </c>
      <c r="B2" s="17" t="s">
        <v>16</v>
      </c>
      <c r="C2" s="18" t="s">
        <v>19</v>
      </c>
      <c r="D2" s="19">
        <v>21745</v>
      </c>
      <c r="E2" s="19">
        <v>28846</v>
      </c>
      <c r="F2" s="19">
        <v>29592</v>
      </c>
      <c r="G2" s="19">
        <v>23505</v>
      </c>
      <c r="H2" s="19">
        <v>22220</v>
      </c>
      <c r="I2" s="19">
        <v>16654</v>
      </c>
      <c r="J2" s="19">
        <v>14951</v>
      </c>
      <c r="K2" s="19">
        <v>16280</v>
      </c>
      <c r="L2" s="19">
        <v>34622</v>
      </c>
      <c r="M2" s="19">
        <v>25486</v>
      </c>
      <c r="N2" s="19">
        <v>23495</v>
      </c>
      <c r="O2" s="19">
        <v>16586</v>
      </c>
    </row>
    <row r="3" spans="1:15" ht="54" x14ac:dyDescent="0.2">
      <c r="A3" s="16" t="s">
        <v>17</v>
      </c>
      <c r="B3" s="20" t="s">
        <v>18</v>
      </c>
      <c r="C3" s="21" t="s">
        <v>20</v>
      </c>
      <c r="D3" s="22">
        <v>98</v>
      </c>
      <c r="E3" s="22">
        <v>160</v>
      </c>
      <c r="F3" s="22">
        <v>152</v>
      </c>
      <c r="G3" s="22">
        <v>118</v>
      </c>
      <c r="H3" s="22">
        <v>118</v>
      </c>
      <c r="I3" s="22">
        <v>103</v>
      </c>
      <c r="J3" s="23">
        <v>52</v>
      </c>
      <c r="K3" s="23">
        <v>105</v>
      </c>
      <c r="L3" s="23">
        <v>423</v>
      </c>
      <c r="M3" s="23">
        <v>190</v>
      </c>
      <c r="N3" s="23">
        <v>174</v>
      </c>
      <c r="O3" s="23">
        <v>101</v>
      </c>
    </row>
    <row r="4" spans="1:15" ht="54" x14ac:dyDescent="0.2">
      <c r="A4" s="16" t="s">
        <v>22</v>
      </c>
      <c r="B4" s="20" t="s">
        <v>21</v>
      </c>
      <c r="C4" s="21" t="s">
        <v>23</v>
      </c>
      <c r="D4" s="22">
        <v>1133</v>
      </c>
      <c r="E4" s="22">
        <v>322</v>
      </c>
      <c r="F4" s="22">
        <v>462</v>
      </c>
      <c r="G4" s="22">
        <v>465</v>
      </c>
      <c r="H4" s="22">
        <v>552</v>
      </c>
      <c r="I4" s="22">
        <v>386</v>
      </c>
      <c r="J4" s="22">
        <v>351</v>
      </c>
      <c r="K4" s="22">
        <v>314</v>
      </c>
      <c r="L4" s="22">
        <v>366</v>
      </c>
      <c r="M4" s="22">
        <v>146</v>
      </c>
      <c r="N4" s="22">
        <v>365</v>
      </c>
      <c r="O4" s="22">
        <v>380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B2:O4" xr:uid="{E345B9F0-C1C5-4C66-93F4-405629135485}"/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7893-BB4D-4DB8-ACDE-F06CDBFF3699}">
  <dimension ref="A1:O4"/>
  <sheetViews>
    <sheetView workbookViewId="0">
      <selection activeCell="B3" sqref="B3"/>
    </sheetView>
  </sheetViews>
  <sheetFormatPr baseColWidth="10" defaultRowHeight="12" x14ac:dyDescent="0.2"/>
  <cols>
    <col min="1" max="1" width="16.6640625" customWidth="1"/>
    <col min="2" max="2" width="40.5" customWidth="1"/>
    <col min="3" max="3" width="62.5" customWidth="1"/>
  </cols>
  <sheetData>
    <row r="1" spans="1:15" ht="13.5" x14ac:dyDescent="0.2">
      <c r="A1" s="28" t="s">
        <v>0</v>
      </c>
      <c r="B1" s="29" t="s">
        <v>1</v>
      </c>
      <c r="C1" s="30" t="s">
        <v>2</v>
      </c>
      <c r="D1" s="31" t="s">
        <v>48</v>
      </c>
      <c r="E1" s="31" t="s">
        <v>49</v>
      </c>
      <c r="F1" s="31" t="s">
        <v>50</v>
      </c>
      <c r="G1" s="31" t="s">
        <v>51</v>
      </c>
      <c r="H1" s="31" t="s">
        <v>52</v>
      </c>
      <c r="I1" s="31" t="s">
        <v>53</v>
      </c>
      <c r="J1" s="31" t="s">
        <v>54</v>
      </c>
      <c r="K1" s="31" t="s">
        <v>55</v>
      </c>
      <c r="L1" s="31" t="s">
        <v>56</v>
      </c>
      <c r="M1" s="31" t="s">
        <v>57</v>
      </c>
      <c r="N1" s="31" t="s">
        <v>58</v>
      </c>
      <c r="O1" s="32" t="s">
        <v>59</v>
      </c>
    </row>
    <row r="2" spans="1:15" ht="40.5" x14ac:dyDescent="0.2">
      <c r="A2" s="1" t="s">
        <v>15</v>
      </c>
      <c r="B2" s="2" t="s">
        <v>16</v>
      </c>
      <c r="C2" s="3" t="s">
        <v>19</v>
      </c>
      <c r="D2" s="4">
        <v>24220</v>
      </c>
      <c r="E2" s="4">
        <v>26708</v>
      </c>
      <c r="F2" s="4">
        <v>28182</v>
      </c>
      <c r="G2" s="4">
        <v>25078</v>
      </c>
      <c r="H2" s="4">
        <v>26523</v>
      </c>
      <c r="I2" s="4">
        <v>22188</v>
      </c>
      <c r="J2" s="4">
        <v>16820</v>
      </c>
      <c r="K2" s="4">
        <v>17796</v>
      </c>
      <c r="L2" s="4">
        <v>37486</v>
      </c>
      <c r="M2" s="4">
        <v>36994</v>
      </c>
      <c r="N2" s="4">
        <v>43458</v>
      </c>
      <c r="O2" s="5">
        <v>20555</v>
      </c>
    </row>
    <row r="3" spans="1:15" ht="54" x14ac:dyDescent="0.2">
      <c r="A3" s="1" t="s">
        <v>17</v>
      </c>
      <c r="B3" s="6" t="s">
        <v>18</v>
      </c>
      <c r="C3" s="7" t="s">
        <v>20</v>
      </c>
      <c r="D3" s="8">
        <v>94</v>
      </c>
      <c r="E3" s="8">
        <v>129</v>
      </c>
      <c r="F3" s="8">
        <v>131</v>
      </c>
      <c r="G3" s="8">
        <v>127</v>
      </c>
      <c r="H3" s="8">
        <v>135</v>
      </c>
      <c r="I3" s="8">
        <v>107</v>
      </c>
      <c r="J3" s="9">
        <v>83</v>
      </c>
      <c r="K3" s="9">
        <v>135</v>
      </c>
      <c r="L3" s="9">
        <v>477</v>
      </c>
      <c r="M3" s="9">
        <v>264</v>
      </c>
      <c r="N3" s="9">
        <v>220</v>
      </c>
      <c r="O3" s="10">
        <v>118</v>
      </c>
    </row>
    <row r="4" spans="1:15" ht="54" x14ac:dyDescent="0.2">
      <c r="A4" s="11" t="s">
        <v>22</v>
      </c>
      <c r="B4" s="12" t="s">
        <v>21</v>
      </c>
      <c r="C4" s="13" t="s">
        <v>23</v>
      </c>
      <c r="D4" s="14">
        <v>178</v>
      </c>
      <c r="E4" s="14">
        <v>405</v>
      </c>
      <c r="F4" s="14">
        <v>247</v>
      </c>
      <c r="G4" s="14">
        <v>212</v>
      </c>
      <c r="H4" s="14">
        <v>327</v>
      </c>
      <c r="I4" s="14">
        <v>155</v>
      </c>
      <c r="J4" s="14">
        <v>269</v>
      </c>
      <c r="K4" s="14">
        <v>165</v>
      </c>
      <c r="L4" s="14">
        <v>239</v>
      </c>
      <c r="M4" s="14">
        <v>161</v>
      </c>
      <c r="N4" s="14">
        <v>429</v>
      </c>
      <c r="O4" s="15">
        <v>111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B2:O4" xr:uid="{064C88AB-A36F-42A5-A911-E95019B8FD71}"/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B9D8C-D261-41B9-8453-6629DFBBAAF5}">
  <dimension ref="A1:O4"/>
  <sheetViews>
    <sheetView workbookViewId="0">
      <selection activeCell="G3" sqref="G3"/>
    </sheetView>
  </sheetViews>
  <sheetFormatPr baseColWidth="10" defaultRowHeight="12" x14ac:dyDescent="0.2"/>
  <cols>
    <col min="1" max="1" width="16.6640625" customWidth="1"/>
    <col min="2" max="2" width="40.5" customWidth="1"/>
    <col min="3" max="3" width="62.5" customWidth="1"/>
  </cols>
  <sheetData>
    <row r="1" spans="1:15" ht="13.5" x14ac:dyDescent="0.2">
      <c r="A1" s="33" t="s">
        <v>0</v>
      </c>
      <c r="B1" s="33" t="s">
        <v>1</v>
      </c>
      <c r="C1" s="34" t="s">
        <v>2</v>
      </c>
      <c r="D1" s="35" t="s">
        <v>36</v>
      </c>
      <c r="E1" s="35" t="s">
        <v>37</v>
      </c>
      <c r="F1" s="35" t="s">
        <v>38</v>
      </c>
      <c r="G1" s="35" t="s">
        <v>39</v>
      </c>
      <c r="H1" s="35" t="s">
        <v>40</v>
      </c>
      <c r="I1" s="35" t="s">
        <v>41</v>
      </c>
      <c r="J1" s="35" t="s">
        <v>42</v>
      </c>
      <c r="K1" s="35" t="s">
        <v>43</v>
      </c>
      <c r="L1" s="35" t="s">
        <v>44</v>
      </c>
      <c r="M1" s="35" t="s">
        <v>45</v>
      </c>
      <c r="N1" s="35" t="s">
        <v>46</v>
      </c>
      <c r="O1" s="35" t="s">
        <v>47</v>
      </c>
    </row>
    <row r="2" spans="1:15" ht="40.5" x14ac:dyDescent="0.2">
      <c r="A2" s="16" t="s">
        <v>15</v>
      </c>
      <c r="B2" s="17" t="s">
        <v>16</v>
      </c>
      <c r="C2" s="18" t="s">
        <v>19</v>
      </c>
      <c r="D2" s="19">
        <v>11538</v>
      </c>
      <c r="E2" s="19">
        <v>11458</v>
      </c>
      <c r="F2" s="19">
        <v>14037</v>
      </c>
      <c r="G2" s="19">
        <v>12169</v>
      </c>
      <c r="H2" s="19">
        <v>16941</v>
      </c>
      <c r="I2" s="19">
        <v>17435</v>
      </c>
      <c r="J2" s="19">
        <v>12915</v>
      </c>
      <c r="K2" s="19">
        <v>13672</v>
      </c>
      <c r="L2" s="19">
        <v>27235</v>
      </c>
      <c r="M2" s="19">
        <v>31920</v>
      </c>
      <c r="N2" s="19">
        <v>24300</v>
      </c>
      <c r="O2" s="19">
        <v>20372</v>
      </c>
    </row>
    <row r="3" spans="1:15" ht="54" x14ac:dyDescent="0.2">
      <c r="A3" s="16" t="s">
        <v>17</v>
      </c>
      <c r="B3" s="20" t="s">
        <v>18</v>
      </c>
      <c r="C3" s="21" t="s">
        <v>20</v>
      </c>
      <c r="D3" s="22">
        <v>96</v>
      </c>
      <c r="E3" s="22">
        <v>146</v>
      </c>
      <c r="F3" s="22">
        <v>133</v>
      </c>
      <c r="G3" s="22">
        <v>110</v>
      </c>
      <c r="H3" s="22">
        <v>100</v>
      </c>
      <c r="I3" s="22">
        <v>88</v>
      </c>
      <c r="J3" s="23">
        <v>80</v>
      </c>
      <c r="K3" s="23">
        <v>101</v>
      </c>
      <c r="L3" s="23">
        <v>387</v>
      </c>
      <c r="M3" s="23">
        <v>213</v>
      </c>
      <c r="N3" s="23">
        <v>158</v>
      </c>
      <c r="O3" s="23">
        <v>119</v>
      </c>
    </row>
    <row r="4" spans="1:15" ht="54" x14ac:dyDescent="0.2">
      <c r="A4" s="16" t="s">
        <v>22</v>
      </c>
      <c r="B4" s="20" t="s">
        <v>21</v>
      </c>
      <c r="C4" s="21" t="s">
        <v>23</v>
      </c>
      <c r="D4" s="22">
        <v>206</v>
      </c>
      <c r="E4" s="22">
        <v>182</v>
      </c>
      <c r="F4" s="22">
        <v>316</v>
      </c>
      <c r="G4" s="22">
        <v>126</v>
      </c>
      <c r="H4" s="22">
        <v>180</v>
      </c>
      <c r="I4" s="22">
        <v>164</v>
      </c>
      <c r="J4" s="22">
        <v>264</v>
      </c>
      <c r="K4" s="22">
        <v>250</v>
      </c>
      <c r="L4" s="22">
        <v>222</v>
      </c>
      <c r="M4" s="22">
        <v>368</v>
      </c>
      <c r="N4" s="22">
        <v>226</v>
      </c>
      <c r="O4" s="22">
        <v>117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B2:O4" xr:uid="{2D19B51B-73E7-4444-A82E-629DFD5F3263}"/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5F79-6C7B-4120-A66E-41F3004DF39B}">
  <dimension ref="A1:O4"/>
  <sheetViews>
    <sheetView tabSelected="1" workbookViewId="0">
      <selection activeCell="F24" sqref="F24"/>
    </sheetView>
  </sheetViews>
  <sheetFormatPr baseColWidth="10" defaultRowHeight="12" x14ac:dyDescent="0.2"/>
  <cols>
    <col min="1" max="1" width="16.6640625" customWidth="1"/>
    <col min="2" max="2" width="40.5" customWidth="1"/>
    <col min="3" max="3" width="62.5" customWidth="1"/>
  </cols>
  <sheetData>
    <row r="1" spans="1:15" ht="13.5" x14ac:dyDescent="0.2">
      <c r="A1" s="28" t="s">
        <v>0</v>
      </c>
      <c r="B1" s="29" t="s">
        <v>1</v>
      </c>
      <c r="C1" s="30" t="s">
        <v>2</v>
      </c>
      <c r="D1" s="31" t="s">
        <v>24</v>
      </c>
      <c r="E1" s="31" t="s">
        <v>25</v>
      </c>
      <c r="F1" s="31" t="s">
        <v>26</v>
      </c>
      <c r="G1" s="31" t="s">
        <v>27</v>
      </c>
      <c r="H1" s="31" t="s">
        <v>28</v>
      </c>
      <c r="I1" s="31" t="s">
        <v>29</v>
      </c>
      <c r="J1" s="31" t="s">
        <v>30</v>
      </c>
      <c r="K1" s="31" t="s">
        <v>31</v>
      </c>
      <c r="L1" s="31" t="s">
        <v>32</v>
      </c>
      <c r="M1" s="31" t="s">
        <v>33</v>
      </c>
      <c r="N1" s="31" t="s">
        <v>34</v>
      </c>
      <c r="O1" s="32" t="s">
        <v>35</v>
      </c>
    </row>
    <row r="2" spans="1:15" ht="40.5" x14ac:dyDescent="0.2">
      <c r="A2" s="24" t="s">
        <v>15</v>
      </c>
      <c r="B2" s="25" t="s">
        <v>16</v>
      </c>
      <c r="C2" s="26" t="s">
        <v>19</v>
      </c>
      <c r="D2" s="19">
        <v>18509</v>
      </c>
      <c r="E2" s="19">
        <v>16436</v>
      </c>
      <c r="F2" s="19">
        <v>21848</v>
      </c>
      <c r="G2" s="19">
        <v>18164</v>
      </c>
      <c r="H2" s="19">
        <v>17149</v>
      </c>
      <c r="I2" s="19">
        <v>13611</v>
      </c>
      <c r="J2" s="19">
        <v>11430</v>
      </c>
      <c r="K2" s="19">
        <v>11933</v>
      </c>
      <c r="L2" s="19">
        <v>21602</v>
      </c>
      <c r="M2" s="19">
        <v>28996</v>
      </c>
      <c r="N2" s="19">
        <v>28343</v>
      </c>
      <c r="O2" s="19">
        <v>16052</v>
      </c>
    </row>
    <row r="3" spans="1:15" ht="54" x14ac:dyDescent="0.2">
      <c r="A3" s="24" t="s">
        <v>17</v>
      </c>
      <c r="B3" s="25" t="s">
        <v>18</v>
      </c>
      <c r="C3" s="26" t="s">
        <v>20</v>
      </c>
      <c r="D3" s="27">
        <v>156</v>
      </c>
      <c r="E3" s="27">
        <v>184</v>
      </c>
      <c r="F3" s="27">
        <v>193</v>
      </c>
      <c r="G3" s="27">
        <v>128</v>
      </c>
      <c r="H3" s="27">
        <v>128</v>
      </c>
      <c r="I3" s="27">
        <v>131</v>
      </c>
      <c r="J3" s="19">
        <v>118</v>
      </c>
      <c r="K3" s="19">
        <v>211</v>
      </c>
      <c r="L3" s="19">
        <v>496</v>
      </c>
      <c r="M3" s="19">
        <v>327</v>
      </c>
      <c r="N3" s="19">
        <v>163</v>
      </c>
      <c r="O3" s="19">
        <v>91</v>
      </c>
    </row>
    <row r="4" spans="1:15" ht="54" x14ac:dyDescent="0.2">
      <c r="A4" s="24" t="s">
        <v>22</v>
      </c>
      <c r="B4" s="25" t="s">
        <v>21</v>
      </c>
      <c r="C4" s="26" t="s">
        <v>23</v>
      </c>
      <c r="D4" s="27">
        <v>202</v>
      </c>
      <c r="E4" s="27">
        <v>193</v>
      </c>
      <c r="F4" s="27">
        <v>211</v>
      </c>
      <c r="G4" s="27">
        <v>167</v>
      </c>
      <c r="H4" s="27">
        <v>178</v>
      </c>
      <c r="I4" s="27">
        <v>165</v>
      </c>
      <c r="J4" s="27">
        <v>194</v>
      </c>
      <c r="K4" s="27">
        <v>253</v>
      </c>
      <c r="L4" s="27">
        <v>149</v>
      </c>
      <c r="M4" s="27">
        <v>154</v>
      </c>
      <c r="N4" s="27">
        <v>364</v>
      </c>
      <c r="O4" s="27">
        <v>149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B2:O4" xr:uid="{34313B32-F510-40B4-B330-6F7DCEEADAFA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AIR_2026</vt:lpstr>
      <vt:lpstr>AIR_2025</vt:lpstr>
      <vt:lpstr>AIR_2024</vt:lpstr>
      <vt:lpstr>AIR_2023</vt:lpstr>
      <vt:lpstr>AIR_2022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Agnès Guex</dc:creator>
  <cp:lastModifiedBy>Geneviève Agnès Guex</cp:lastModifiedBy>
  <dcterms:created xsi:type="dcterms:W3CDTF">2026-09-29T05:22:18Z</dcterms:created>
  <dcterms:modified xsi:type="dcterms:W3CDTF">2026-10-14T12:11:32Z</dcterms:modified>
</cp:coreProperties>
</file>