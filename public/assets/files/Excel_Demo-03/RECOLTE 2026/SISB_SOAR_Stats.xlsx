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3/RECOLTE 2026/"/>
    </mc:Choice>
  </mc:AlternateContent>
  <xr:revisionPtr revIDLastSave="62" documentId="8_{7FD410BF-4DAD-4EBF-8E17-FB770892BDE8}" xr6:coauthVersionLast="47" xr6:coauthVersionMax="47" xr10:uidLastSave="{504C165A-0734-4375-9EC2-AACFAEBEABB0}"/>
  <bookViews>
    <workbookView xWindow="-120" yWindow="-120" windowWidth="51840" windowHeight="21120" activeTab="2" xr2:uid="{537DF2C6-54A6-4649-8875-CD01F068054D}"/>
  </bookViews>
  <sheets>
    <sheet name="SOAR_2026" sheetId="3" r:id="rId1"/>
    <sheet name="SOAR_2025" sheetId="2" r:id="rId2"/>
    <sheet name="SOAR_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<sst xmlns="http://schemas.openxmlformats.org/spreadsheetml/2006/main" count="99" uniqueCount="57">
  <si>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</si>
  <si>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</si>
  <si>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</si>
  <si>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</si>
  <si>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</si>
  <si>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</si>
  <si>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</si>
  <si>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</si>
  <si>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</si>
  <si>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</si>
  <si>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</si>
  <si>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</si>
  <si>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</si>
  <si>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</si>
  <si>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</si>
  <si>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</si>
  <si>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</si>
  <si>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</si>
  <si>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</si>
  <si>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</si>
  <si>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</si>
  <si>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</si>
  <si>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</si>
  <si>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</si>
  <si>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</si>
  <si>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</si>
  <si>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</si>
  <si>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</si>
  <si>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</si>
  <si>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</si>
  <si>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</si>
  <si>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</si>
  <si>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</si>
  <si>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</si>
  <si>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</si>
  <si>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</si>
  <si>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</si>
  <si>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</si>
  <si>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</si>
  <si>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FOR_010</t>
  </si>
  <si>
    <t>Formations : Participants - Etudiants BA-MA (nombre)</t>
  </si>
  <si>
    <t>Nombre de participants aux sessions de formation destinées spécifiquement aux étudiants en filière bachelor ou master</t>
  </si>
  <si>
    <t>FOR_030</t>
  </si>
  <si>
    <t>Formations : Participants - Chercheurs (nombre)</t>
  </si>
  <si>
    <t>Nombre de participants aux sessions de formation destinées spécifiquement aux chercheurs</t>
  </si>
  <si>
    <t>FOR_020</t>
  </si>
  <si>
    <t>Formations : Participants - PhDs (nombre)</t>
  </si>
  <si>
    <t>Nombre de participants aux sessions de formation destinées spécifiquement aux étudiants doctorants</t>
  </si>
  <si>
    <t>FOR_040</t>
  </si>
  <si>
    <t>Formations : Participants - Autres (nombre)</t>
  </si>
  <si>
    <t>Nombre de participants aux sessions de formation et présentations dont le contenu s'adresse à d'autres types de participants
inclus: gymnasiens, collaborateurs EPFL, bibliothécaires;</t>
  </si>
  <si>
    <t>REQ_240</t>
  </si>
  <si>
    <t>Sollicitations : Guichet virtuel RDM - researchdata@epfl.ch (nombre)</t>
  </si>
  <si>
    <t>REQ_220</t>
  </si>
  <si>
    <t>Sollicitations : Guichet virtuel - Publishing support publishsupport@epfl.ch (nombre)</t>
  </si>
  <si>
    <t>Nombre de cas ouverts durant le mois en cours via researchdata@epfl.ch et traités par le service researchdata;
inclus : DMP, Data publication, Curation Zenodo, Gestion données sensibles et personnelles, Data collection and workflow, Autres/Divers;
exclus: tickets de maintenance; ACOUA; ORCID;Datachampions</t>
  </si>
  <si>
    <t>Nombre de sollicitations reçues durant le mois en cours concernant le soutien à la publication;
exclus: ORCID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</si>
</sst>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2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64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2" applyFont="1" applyAlignment="1">
      <alignment vertical="top" wrapText="1"/>
    </xf>
    <xf numFmtId="49" fontId="3" fillId="0" borderId="0" xfId="2" applyNumberFormat="1" applyFont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04E2E-BB1B-448F-83D9-25CFABC989B9}" name="TBL_SOAR_2026" displayName="TBL_SOAR_2026" ref="A1:O7" totalsRowShown="0" headerRowDxfId="50" dataDxfId="49" headerRowCellStyle="Normal 2">
  <autoFilter ref="A1:O7" xr:uid="{7EC04E2E-BB1B-448F-83D9-25CFABC989B9}"/>
  <tableColumns count="15">
    <tableColumn id="1" xr3:uid="{B391C020-EAEE-43FA-AAEE-263EA3A61F24}" name="N° Indicateur" dataDxfId="48"/>
    <tableColumn id="2" xr3:uid="{955E9535-18BE-4968-8F9E-2E85D8EC1A01}" name="Indicateur" dataDxfId="47"/>
    <tableColumn id="3" xr3:uid="{D9723AE4-CA40-49F7-B994-CC87ADB74BA9}" name="Descriptif indicateur" dataDxfId="46"/>
    <tableColumn id="4" xr3:uid="{1474F461-8513-4A71-BCDC-DFE83BAD5379}" name="janv.26" dataDxfId="45" dataCellStyle="Milliers"/>
    <tableColumn id="5" xr3:uid="{B94DEB96-F979-4637-BE1D-76D211325EBC}" name="févr.26" dataDxfId="44" dataCellStyle="Milliers"/>
    <tableColumn id="6" xr3:uid="{15A53136-7178-44A7-B60D-CAC904A01A0B}" name="mars26" dataDxfId="43" dataCellStyle="Milliers"/>
    <tableColumn id="7" xr3:uid="{2292C74A-A391-4E08-970E-251ECC5317E2}" name="avr.26" dataDxfId="42" dataCellStyle="Milliers"/>
    <tableColumn id="8" xr3:uid="{950BA39A-6FA7-45D5-9BB1-4A4C210B695A}" name="mai26" dataDxfId="41" dataCellStyle="Milliers"/>
    <tableColumn id="9" xr3:uid="{CF650D41-D51C-4273-8675-39ED5CB87BB0}" name="juin26" dataDxfId="40"/>
    <tableColumn id="10" xr3:uid="{7E8611FE-2FF2-499C-B92A-BC237393D692}" name="juil.26" dataDxfId="39"/>
    <tableColumn id="11" xr3:uid="{AF66EDC1-6B20-4851-BFB2-66CE855A95BC}" name="août26" dataDxfId="38"/>
    <tableColumn id="12" xr3:uid="{11162D6A-26E4-486D-94CA-FBC760572562}" name="sept.26" dataDxfId="37"/>
    <tableColumn id="13" xr3:uid="{D8C3A348-9085-4FB4-A976-DDD8B2231FCE}" name="oct.26" dataDxfId="36"/>
    <tableColumn id="14" xr3:uid="{1E536A08-2B82-4EC3-951E-2996BC4F3926}" name="nov.26" dataDxfId="35"/>
    <tableColumn id="15" xr3:uid="{5F3584CB-D208-42C2-9068-E9433219D055}" name="déc.26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5BA5D-CF63-4F18-90F4-F216E7D201DF}" name="TBL_SOAR_2025" displayName="TBL_SOAR_2025" ref="A1:O7" totalsRowShown="0" headerRowDxfId="33" dataDxfId="32" headerRowCellStyle="Normal 2" dataCellStyle="Milliers">
  <autoFilter ref="A1:O7" xr:uid="{7855BA5D-CF63-4F18-90F4-F216E7D201DF}"/>
  <tableColumns count="15">
    <tableColumn id="1" xr3:uid="{623BEA26-A6B4-487C-8C92-1BBBB654223A}" name="N° Indicateur" dataDxfId="31"/>
    <tableColumn id="2" xr3:uid="{3F310B36-DDDB-4E06-A73B-31405A8ED517}" name="Indicateur" dataDxfId="30"/>
    <tableColumn id="3" xr3:uid="{3F53FC0D-7080-422C-B7DD-E5D1A131B31C}" name="Descriptif indicateur" dataDxfId="29"/>
    <tableColumn id="4" xr3:uid="{81AFDCA3-4076-4DF6-8BE8-CFEF6567BD4B}" name="janv.25" dataDxfId="28" dataCellStyle="Milliers"/>
    <tableColumn id="5" xr3:uid="{C24568E0-F0A0-4AFA-A7FF-741A3F8398D8}" name="févr.25" dataDxfId="27" dataCellStyle="Milliers"/>
    <tableColumn id="6" xr3:uid="{2C263EDF-14DC-4A50-A0FE-CF2FE948E09B}" name="mars25" dataDxfId="26" dataCellStyle="Milliers"/>
    <tableColumn id="7" xr3:uid="{C6200EEA-598A-44C1-AA9C-52A9CE4CE2CD}" name="avr.25" dataDxfId="25" dataCellStyle="Milliers"/>
    <tableColumn id="8" xr3:uid="{8730AD88-E1D3-4149-B342-2BDB493A2FCA}" name="mai25" dataDxfId="24" dataCellStyle="Milliers"/>
    <tableColumn id="9" xr3:uid="{220A0850-AE54-48E0-9062-11C2B5F0250D}" name="juin25" dataDxfId="23" dataCellStyle="Milliers"/>
    <tableColumn id="10" xr3:uid="{2F6DFF63-9598-4C64-80C7-8B1C3580D343}" name="juil.25" dataDxfId="22" dataCellStyle="Milliers"/>
    <tableColumn id="11" xr3:uid="{86C412BD-75AD-4D19-90F2-0502ECA08822}" name="août25" dataDxfId="21" dataCellStyle="Milliers"/>
    <tableColumn id="12" xr3:uid="{47F4F797-984F-4C9F-9A36-29803931058F}" name="sept.25" dataDxfId="20" dataCellStyle="Milliers"/>
    <tableColumn id="13" xr3:uid="{844F2BFD-1FF2-4145-BB94-66C74BFDE0AB}" name="oct.25" dataDxfId="19" dataCellStyle="Milliers"/>
    <tableColumn id="14" xr3:uid="{D306475E-98B9-4E59-9E0A-C163FDBFBB87}" name="nov.25" dataDxfId="18" dataCellStyle="Milliers"/>
    <tableColumn id="15" xr3:uid="{06FA5A92-840A-40DC-9BA3-2F6CE22A7A67}" name="déc.25" dataDxfId="17" dataCellStyle="Milli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C7A0F-5322-4065-8AAF-9F3752BEC50D}" name="TBL_SOAR_2024" displayName="TBL_SOAR_2024" ref="A1:O7" totalsRowShown="0" headerRowDxfId="16" dataDxfId="15" headerRowCellStyle="Normal 2" dataCellStyle="Milliers">
  <autoFilter ref="A1:O7" xr:uid="{B0BC7A0F-5322-4065-8AAF-9F3752BEC50D}"/>
  <tableColumns count="15">
    <tableColumn id="1" xr3:uid="{DE7D3FE6-C623-4752-B5F4-B676F4FC77F3}" name="N° Indicateur" dataDxfId="14"/>
    <tableColumn id="2" xr3:uid="{7DAB660C-294F-4F78-9019-9790F32049A9}" name="Indicateur" dataDxfId="13"/>
    <tableColumn id="3" xr3:uid="{33ADDF47-063F-4A8F-8DA2-939DF34A540D}" name="Descriptif indicateur" dataDxfId="12"/>
    <tableColumn id="4" xr3:uid="{72AAA1C4-B789-4241-AB6F-A808E04A8C57}" name="janv.24" dataDxfId="11" dataCellStyle="Milliers"/>
    <tableColumn id="5" xr3:uid="{E52479A7-E596-4B40-9749-E7B38ACF9CE8}" name="févr.24" dataDxfId="10" dataCellStyle="Milliers"/>
    <tableColumn id="6" xr3:uid="{540121E7-1540-421E-8824-49E674383C80}" name="mars24" dataDxfId="9" dataCellStyle="Milliers"/>
    <tableColumn id="7" xr3:uid="{875CD4EB-3E69-4299-8E9D-709DD2B5B537}" name="avr.24" dataDxfId="8" dataCellStyle="Milliers"/>
    <tableColumn id="8" xr3:uid="{DC0F6526-BA3A-4A8D-80AA-59490E557B30}" name="mai24" dataDxfId="7" dataCellStyle="Milliers"/>
    <tableColumn id="9" xr3:uid="{79BD676E-C0FE-4493-9695-47DC40732095}" name="juin24" dataDxfId="6" dataCellStyle="Milliers"/>
    <tableColumn id="10" xr3:uid="{D5115BD1-57BB-4434-97A2-D1DB0F3C7663}" name="juil.24" dataDxfId="5" dataCellStyle="Milliers"/>
    <tableColumn id="11" xr3:uid="{80068C4A-96A8-4C97-A0E8-3F05D76E3A05}" name="août24" dataDxfId="4" dataCellStyle="Milliers"/>
    <tableColumn id="12" xr3:uid="{E4280FB6-B2A9-426B-8363-368959ADD8C0}" name="sept.24" dataDxfId="3" dataCellStyle="Milliers"/>
    <tableColumn id="13" xr3:uid="{60E82D07-6C6C-493C-9FC6-CBAF87DBC992}" name="oct.24" dataDxfId="2" dataCellStyle="Milliers"/>
    <tableColumn id="14" xr3:uid="{0F32986B-4D21-4F71-B82B-5351325A419C}" name="nov.24" dataDxfId="1" dataCellStyle="Milliers"/>
    <tableColumn id="15" xr3:uid="{7E40646A-5F1D-4BB4-A0E0-38C970FE0C30}" name="déc.24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7"/>
  <sheetViews>
    <sheetView workbookViewId="0">
      <selection activeCell="G5" sqref="G5"/>
    </sheetView>
  </sheetViews>
  <sheetFormatPr baseColWidth="10" defaultRowHeight="12" x14ac:dyDescent="0.2"/>
  <cols>
    <col min="1" max="1" width="16.6640625" customWidth="1"/>
    <col min="2" max="3" width="40.5" customWidth="1"/>
  </cols>
  <sheetData>
    <row r="1" spans="1:15" ht="13.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40.5" x14ac:dyDescent="0.2">
      <c r="A2" s="4" t="s">
        <v>39</v>
      </c>
      <c r="B2" s="5" t="s">
        <v>40</v>
      </c>
      <c r="C2" s="5" t="s">
        <v>41</v>
      </c>
      <c r="D2" s="6">
        <v>0</v>
      </c>
      <c r="E2" s="6">
        <v>120</v>
      </c>
      <c r="F2" s="6">
        <v>64</v>
      </c>
      <c r="G2" s="6">
        <v>85</v>
      </c>
      <c r="H2" s="6">
        <v>3208</v>
      </c>
      <c r="I2" s="10"/>
      <c r="J2" s="10"/>
      <c r="K2" s="10"/>
      <c r="L2" s="10"/>
      <c r="M2" s="10"/>
      <c r="N2" s="10"/>
      <c r="O2" s="10"/>
    </row>
    <row r="3" spans="1:15" ht="40.5" x14ac:dyDescent="0.2">
      <c r="A3" s="4" t="s">
        <v>42</v>
      </c>
      <c r="B3" s="5" t="s">
        <v>43</v>
      </c>
      <c r="C3" s="5" t="s">
        <v>44</v>
      </c>
      <c r="D3" s="6">
        <v>0</v>
      </c>
      <c r="E3" s="6">
        <v>1</v>
      </c>
      <c r="F3" s="6">
        <v>55</v>
      </c>
      <c r="G3" s="6">
        <v>8</v>
      </c>
      <c r="H3" s="6">
        <v>5</v>
      </c>
      <c r="I3" s="6"/>
      <c r="J3" s="6"/>
      <c r="K3" s="6"/>
    </row>
    <row r="4" spans="1:15" ht="40.5" x14ac:dyDescent="0.2">
      <c r="A4" s="4" t="s">
        <v>45</v>
      </c>
      <c r="B4" s="5" t="s">
        <v>46</v>
      </c>
      <c r="C4" s="5" t="s">
        <v>47</v>
      </c>
      <c r="D4" s="6">
        <v>11</v>
      </c>
      <c r="E4" s="6">
        <v>54</v>
      </c>
      <c r="F4" s="6">
        <v>16</v>
      </c>
      <c r="G4" s="6">
        <v>1</v>
      </c>
      <c r="H4" s="6">
        <v>32</v>
      </c>
      <c r="I4" s="6"/>
      <c r="J4" s="6"/>
    </row>
    <row r="5" spans="1:15" ht="81" x14ac:dyDescent="0.2">
      <c r="A5" s="4" t="s">
        <v>48</v>
      </c>
      <c r="B5" s="5" t="s">
        <v>49</v>
      </c>
      <c r="C5" s="5" t="s">
        <v>50</v>
      </c>
      <c r="D5" s="6">
        <v>21</v>
      </c>
      <c r="E5" s="6">
        <v>12</v>
      </c>
      <c r="F5" s="6">
        <v>50</v>
      </c>
      <c r="G5" s="6">
        <v>3</v>
      </c>
      <c r="H5" s="6">
        <v>19</v>
      </c>
    </row>
    <row r="6" spans="1:15" ht="121.5" x14ac:dyDescent="0.2">
      <c r="A6" s="7" t="s">
        <v>51</v>
      </c>
      <c r="B6" s="5" t="s">
        <v>52</v>
      </c>
      <c r="C6" s="5" t="s">
        <v>55</v>
      </c>
      <c r="D6" s="6">
        <v>18</v>
      </c>
      <c r="E6" s="6">
        <v>18</v>
      </c>
      <c r="F6" s="6">
        <v>31</v>
      </c>
      <c r="G6" s="6">
        <v>17</v>
      </c>
      <c r="H6" s="6">
        <v>12</v>
      </c>
    </row>
    <row r="7" spans="1:15" ht="54" x14ac:dyDescent="0.2">
      <c r="A7" s="4" t="s">
        <v>53</v>
      </c>
      <c r="B7" s="8" t="s">
        <v>54</v>
      </c>
      <c r="C7" s="8" t="s">
        <v>56</v>
      </c>
      <c r="D7" s="6">
        <v>33</v>
      </c>
      <c r="E7" s="6">
        <v>32</v>
      </c>
      <c r="F7" s="6">
        <v>46</v>
      </c>
      <c r="G7" s="6">
        <v>43</v>
      </c>
      <c r="H7" s="6">
        <v>41</v>
      </c>
      <c r="I7" s="6">
        <v>36</v>
      </c>
      <c r="J7" s="6">
        <v>35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I3:K3 I4:J4 I2:O2 A2:H6 A7:J7" xr:uid="{6EC32E58-9E7F-45A0-A10F-0C9C616EB5E1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7"/>
  <sheetViews>
    <sheetView workbookViewId="0">
      <selection activeCell="F5" sqref="F5"/>
    </sheetView>
  </sheetViews>
  <sheetFormatPr baseColWidth="10" defaultRowHeight="12" x14ac:dyDescent="0.2"/>
  <cols>
    <col min="1" max="1" width="16.6640625" customWidth="1"/>
    <col min="2" max="2" width="28.6640625" customWidth="1"/>
    <col min="3" max="3" width="40.5" customWidth="1"/>
  </cols>
  <sheetData>
    <row r="1" spans="1:15" ht="13.5" x14ac:dyDescent="0.2">
      <c r="A1" s="1" t="s">
        <v>0</v>
      </c>
      <c r="B1" s="1" t="s">
        <v>1</v>
      </c>
      <c r="C1" s="2" t="s">
        <v>2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</row>
    <row r="2" spans="1:15" ht="40.5" x14ac:dyDescent="0.2">
      <c r="A2" s="4" t="s">
        <v>39</v>
      </c>
      <c r="B2" s="5" t="s">
        <v>40</v>
      </c>
      <c r="C2" s="5" t="s">
        <v>41</v>
      </c>
      <c r="D2" s="6">
        <v>1</v>
      </c>
      <c r="E2" s="6">
        <v>31</v>
      </c>
      <c r="F2" s="6">
        <v>111</v>
      </c>
      <c r="G2" s="6">
        <v>47</v>
      </c>
      <c r="H2" s="6">
        <v>2807</v>
      </c>
      <c r="I2" s="6">
        <v>2</v>
      </c>
      <c r="J2" s="6">
        <v>3</v>
      </c>
      <c r="K2" s="6">
        <v>400</v>
      </c>
      <c r="L2" s="6">
        <v>71</v>
      </c>
      <c r="M2" s="6">
        <v>306</v>
      </c>
      <c r="N2" s="6">
        <v>106</v>
      </c>
      <c r="O2" s="6">
        <v>42</v>
      </c>
    </row>
    <row r="3" spans="1:15" ht="40.5" x14ac:dyDescent="0.2">
      <c r="A3" s="4" t="s">
        <v>42</v>
      </c>
      <c r="B3" s="5" t="s">
        <v>43</v>
      </c>
      <c r="C3" s="5" t="s">
        <v>44</v>
      </c>
      <c r="D3" s="6">
        <v>82</v>
      </c>
      <c r="E3" s="6">
        <v>16</v>
      </c>
      <c r="F3" s="6">
        <v>10</v>
      </c>
      <c r="G3" s="6">
        <v>25</v>
      </c>
      <c r="H3" s="6">
        <v>6</v>
      </c>
      <c r="I3" s="6">
        <v>1</v>
      </c>
      <c r="J3" s="6">
        <v>1</v>
      </c>
      <c r="K3" s="6">
        <v>0</v>
      </c>
      <c r="L3" s="6">
        <v>5</v>
      </c>
      <c r="M3" s="6">
        <v>17</v>
      </c>
      <c r="N3" s="6">
        <v>9</v>
      </c>
      <c r="O3" s="6">
        <v>5</v>
      </c>
    </row>
    <row r="4" spans="1:15" ht="40.5" x14ac:dyDescent="0.2">
      <c r="A4" s="4" t="s">
        <v>45</v>
      </c>
      <c r="B4" s="5" t="s">
        <v>46</v>
      </c>
      <c r="C4" s="5" t="s">
        <v>47</v>
      </c>
      <c r="D4" s="6">
        <v>27</v>
      </c>
      <c r="E4" s="6">
        <v>50</v>
      </c>
      <c r="F4" s="6">
        <v>46</v>
      </c>
      <c r="G4" s="6">
        <v>44</v>
      </c>
      <c r="H4" s="6">
        <v>28</v>
      </c>
      <c r="I4" s="6">
        <v>53</v>
      </c>
      <c r="J4" s="6">
        <v>1</v>
      </c>
      <c r="K4" s="6">
        <v>0</v>
      </c>
      <c r="L4" s="6">
        <v>30</v>
      </c>
      <c r="M4" s="6">
        <v>35</v>
      </c>
      <c r="N4" s="6">
        <v>59</v>
      </c>
      <c r="O4" s="6">
        <v>28</v>
      </c>
    </row>
    <row r="5" spans="1:15" ht="81" x14ac:dyDescent="0.2">
      <c r="A5" s="4" t="s">
        <v>48</v>
      </c>
      <c r="B5" s="5" t="s">
        <v>49</v>
      </c>
      <c r="C5" s="5" t="s">
        <v>50</v>
      </c>
      <c r="D5" s="6">
        <v>16</v>
      </c>
      <c r="E5" s="6">
        <v>18</v>
      </c>
      <c r="F5" s="6">
        <v>0</v>
      </c>
      <c r="G5" s="6">
        <v>0</v>
      </c>
      <c r="H5" s="6">
        <v>26</v>
      </c>
      <c r="I5" s="6">
        <v>39</v>
      </c>
      <c r="J5" s="6">
        <v>0</v>
      </c>
      <c r="K5" s="6">
        <v>0</v>
      </c>
      <c r="L5" s="6">
        <v>0</v>
      </c>
      <c r="M5" s="6">
        <v>82</v>
      </c>
      <c r="N5" s="6">
        <v>14</v>
      </c>
      <c r="O5" s="6">
        <v>1</v>
      </c>
    </row>
    <row r="6" spans="1:15" ht="121.5" x14ac:dyDescent="0.2">
      <c r="A6" s="7" t="s">
        <v>51</v>
      </c>
      <c r="B6" s="5" t="s">
        <v>52</v>
      </c>
      <c r="C6" s="5" t="s">
        <v>55</v>
      </c>
      <c r="D6" s="6">
        <v>27.5</v>
      </c>
      <c r="E6" s="6">
        <v>14.083333333333334</v>
      </c>
      <c r="F6" s="6">
        <v>24.25</v>
      </c>
      <c r="G6" s="6">
        <v>14.916666666666666</v>
      </c>
      <c r="H6" s="6">
        <v>17.833333333333332</v>
      </c>
      <c r="I6" s="6">
        <v>25.5</v>
      </c>
      <c r="J6" s="6">
        <v>21.416666666666668</v>
      </c>
      <c r="K6" s="6">
        <v>22.583333333333332</v>
      </c>
      <c r="L6" s="6">
        <v>14.916666666666666</v>
      </c>
      <c r="M6" s="6">
        <v>14.5</v>
      </c>
      <c r="N6" s="6">
        <v>22.5</v>
      </c>
      <c r="O6" s="6">
        <v>15.1</v>
      </c>
    </row>
    <row r="7" spans="1:15" ht="54" x14ac:dyDescent="0.2">
      <c r="A7" s="4" t="s">
        <v>53</v>
      </c>
      <c r="B7" s="8" t="s">
        <v>54</v>
      </c>
      <c r="C7" s="8" t="s">
        <v>56</v>
      </c>
      <c r="D7" s="6">
        <v>43</v>
      </c>
      <c r="E7" s="6">
        <v>38</v>
      </c>
      <c r="F7" s="6">
        <v>41</v>
      </c>
      <c r="G7" s="6">
        <v>47</v>
      </c>
      <c r="H7" s="6">
        <v>25</v>
      </c>
      <c r="I7" s="6">
        <v>37</v>
      </c>
      <c r="J7" s="6">
        <v>33</v>
      </c>
      <c r="K7" s="6">
        <v>28</v>
      </c>
      <c r="L7" s="6">
        <v>42</v>
      </c>
      <c r="M7" s="6">
        <v>40</v>
      </c>
      <c r="N7" s="6">
        <v>17</v>
      </c>
      <c r="O7" s="6">
        <v>31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7" xr:uid="{1F8B4CAB-1D24-4EAF-B6C0-C3884013A711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7"/>
  <sheetViews>
    <sheetView tabSelected="1" workbookViewId="0">
      <selection activeCell="G6" sqref="G6"/>
    </sheetView>
  </sheetViews>
  <sheetFormatPr baseColWidth="10" defaultRowHeight="12" x14ac:dyDescent="0.2"/>
  <cols>
    <col min="1" max="1" width="16.6640625" customWidth="1"/>
    <col min="2" max="2" width="28.33203125" customWidth="1"/>
    <col min="3" max="3" width="44.6640625" customWidth="1"/>
  </cols>
  <sheetData>
    <row r="1" spans="1:15" ht="13.5" x14ac:dyDescent="0.2">
      <c r="A1" s="1" t="s">
        <v>0</v>
      </c>
      <c r="B1" s="1" t="s">
        <v>1</v>
      </c>
      <c r="C1" s="2" t="s">
        <v>2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</row>
    <row r="2" spans="1:15" ht="40.5" x14ac:dyDescent="0.2">
      <c r="A2" s="4" t="s">
        <v>39</v>
      </c>
      <c r="B2" s="5" t="s">
        <v>40</v>
      </c>
      <c r="C2" s="5" t="s">
        <v>41</v>
      </c>
      <c r="D2" s="6">
        <v>0</v>
      </c>
      <c r="E2" s="6">
        <v>82</v>
      </c>
      <c r="F2" s="6">
        <v>757</v>
      </c>
      <c r="G2" s="6">
        <v>2260</v>
      </c>
      <c r="H2" s="6">
        <v>1125</v>
      </c>
      <c r="I2" s="6">
        <v>1</v>
      </c>
      <c r="J2" s="6">
        <v>0</v>
      </c>
      <c r="K2" s="6">
        <v>0</v>
      </c>
      <c r="L2" s="6">
        <v>613</v>
      </c>
      <c r="M2" s="6">
        <v>291</v>
      </c>
      <c r="N2" s="6">
        <v>142</v>
      </c>
      <c r="O2" s="6">
        <v>0</v>
      </c>
    </row>
    <row r="3" spans="1:15" ht="40.5" x14ac:dyDescent="0.2">
      <c r="A3" s="4" t="s">
        <v>42</v>
      </c>
      <c r="B3" s="5" t="s">
        <v>43</v>
      </c>
      <c r="C3" s="5" t="s">
        <v>44</v>
      </c>
      <c r="D3" s="6">
        <v>21</v>
      </c>
      <c r="E3" s="6">
        <v>25</v>
      </c>
      <c r="F3" s="6">
        <v>5</v>
      </c>
      <c r="G3" s="6">
        <v>10</v>
      </c>
      <c r="H3" s="6">
        <v>19</v>
      </c>
      <c r="I3" s="6">
        <v>11</v>
      </c>
      <c r="J3" s="6">
        <v>2</v>
      </c>
      <c r="K3" s="6">
        <v>0</v>
      </c>
      <c r="L3" s="6">
        <v>8</v>
      </c>
      <c r="M3" s="6">
        <v>21</v>
      </c>
      <c r="N3" s="6">
        <v>26</v>
      </c>
      <c r="O3" s="6">
        <v>5</v>
      </c>
    </row>
    <row r="4" spans="1:15" ht="40.5" x14ac:dyDescent="0.2">
      <c r="A4" s="4" t="s">
        <v>45</v>
      </c>
      <c r="B4" s="5" t="s">
        <v>46</v>
      </c>
      <c r="C4" s="5" t="s">
        <v>47</v>
      </c>
      <c r="D4" s="6">
        <v>21</v>
      </c>
      <c r="E4" s="6">
        <v>47</v>
      </c>
      <c r="F4" s="6">
        <v>4</v>
      </c>
      <c r="G4" s="6">
        <v>20</v>
      </c>
      <c r="H4" s="6">
        <v>11</v>
      </c>
      <c r="I4" s="6">
        <v>0</v>
      </c>
      <c r="J4" s="6">
        <v>0</v>
      </c>
      <c r="K4" s="6">
        <v>0</v>
      </c>
      <c r="L4" s="6">
        <v>3</v>
      </c>
      <c r="M4" s="6">
        <v>1</v>
      </c>
      <c r="N4" s="6">
        <v>50</v>
      </c>
      <c r="O4" s="6">
        <v>5</v>
      </c>
    </row>
    <row r="5" spans="1:15" ht="67.5" x14ac:dyDescent="0.2">
      <c r="A5" s="4" t="s">
        <v>48</v>
      </c>
      <c r="B5" s="5" t="s">
        <v>49</v>
      </c>
      <c r="C5" s="5" t="s">
        <v>50</v>
      </c>
      <c r="D5" s="6">
        <v>13</v>
      </c>
      <c r="E5" s="6">
        <v>13</v>
      </c>
      <c r="F5" s="6">
        <v>6</v>
      </c>
      <c r="G5" s="6">
        <v>0</v>
      </c>
      <c r="H5" s="6">
        <v>20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16</v>
      </c>
      <c r="O5" s="6">
        <v>17</v>
      </c>
    </row>
    <row r="6" spans="1:15" ht="121.5" x14ac:dyDescent="0.2">
      <c r="A6" s="7" t="s">
        <v>51</v>
      </c>
      <c r="B6" s="5" t="s">
        <v>52</v>
      </c>
      <c r="C6" s="5" t="s">
        <v>55</v>
      </c>
      <c r="D6" s="6">
        <v>27.5</v>
      </c>
      <c r="E6" s="6">
        <v>14.083333333333334</v>
      </c>
      <c r="F6" s="6">
        <v>24.25</v>
      </c>
      <c r="G6" s="6">
        <v>14.916666666666666</v>
      </c>
      <c r="H6" s="6">
        <v>17.833333333333332</v>
      </c>
      <c r="I6" s="6">
        <v>25.5</v>
      </c>
      <c r="J6" s="6">
        <v>21.416666666666668</v>
      </c>
      <c r="K6" s="6">
        <v>22.583333333333332</v>
      </c>
      <c r="L6" s="6">
        <v>14.916666666666666</v>
      </c>
      <c r="M6" s="6">
        <v>14.5</v>
      </c>
      <c r="N6" s="6">
        <v>22.5</v>
      </c>
      <c r="O6" s="6">
        <v>15.1</v>
      </c>
    </row>
    <row r="7" spans="1:15" ht="54" x14ac:dyDescent="0.2">
      <c r="A7" s="4" t="s">
        <v>53</v>
      </c>
      <c r="B7" s="8" t="s">
        <v>54</v>
      </c>
      <c r="C7" s="8" t="s">
        <v>56</v>
      </c>
      <c r="D7" s="6">
        <v>44</v>
      </c>
      <c r="E7" s="6">
        <v>56</v>
      </c>
      <c r="F7" s="6">
        <v>34</v>
      </c>
      <c r="G7" s="6">
        <v>40</v>
      </c>
      <c r="H7" s="6">
        <v>34</v>
      </c>
      <c r="I7" s="6">
        <v>40</v>
      </c>
      <c r="J7" s="6">
        <v>32</v>
      </c>
      <c r="K7" s="6">
        <v>34</v>
      </c>
      <c r="L7" s="6">
        <v>31</v>
      </c>
      <c r="M7" s="6">
        <v>41</v>
      </c>
      <c r="N7" s="6">
        <v>41</v>
      </c>
      <c r="O7" s="6">
        <v>33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7" xr:uid="{B9CC19CD-DC64-4957-BC23-69BADB64F91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SOAR_2026</vt:lpstr>
      <vt:lpstr>SOAR_2025</vt:lpstr>
      <vt:lpstr>SOAR_2024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2026-10-14T12:10:22Z</dcterms:modified>
</cp:coreProperties>
</file>